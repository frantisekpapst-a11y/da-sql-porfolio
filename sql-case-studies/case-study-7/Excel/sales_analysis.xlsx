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rant\Documents\data-analytics-workspace\da-sql-porfolio\sql-case-studies\case-study-7\Excel\"/>
    </mc:Choice>
  </mc:AlternateContent>
  <xr:revisionPtr revIDLastSave="0" documentId="13_ncr:1_{8F88976F-730F-454F-80F9-7EC01F985658}" xr6:coauthVersionLast="47" xr6:coauthVersionMax="47" xr10:uidLastSave="{00000000-0000-0000-0000-000000000000}"/>
  <bookViews>
    <workbookView xWindow="-108" yWindow="-108" windowWidth="23256" windowHeight="13896" xr2:uid="{5C785E1D-972F-48EC-857C-EE50C3C5A41C}"/>
  </bookViews>
  <sheets>
    <sheet name="Tržby_objednávky_EDA" sheetId="3" r:id="rId1"/>
    <sheet name="Tržby_objednávky_SDA" sheetId="4" r:id="rId2"/>
    <sheet name="Segmenty" sheetId="6" r:id="rId3"/>
    <sheet name="TOP_zákazníci" sheetId="8" r:id="rId4"/>
    <sheet name="Data" sheetId="2" r:id="rId5"/>
  </sheets>
  <definedNames>
    <definedName name="ExternalData_1" localSheetId="4" hidden="1">Data!$A$1:$H$996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Tržby_objednávky_EDA!$G$21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8" l="1"/>
  <c r="C12" i="8"/>
  <c r="B13" i="8"/>
  <c r="B12" i="8"/>
  <c r="J12" i="6" a="1"/>
  <c r="J9" i="6" a="1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A26" i="4"/>
  <c r="D13" i="8" l="1"/>
  <c r="D1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EAF09-C5C5-4EE9-85C5-12833DF2CAE2}" keepAlive="1" name="Dotaz – objednavky_analyza" description="Připojení k dotazu produktu objednavky_analyza v sešitě" type="5" refreshedVersion="8" background="1" saveData="1">
    <dbPr connection="Provider=Microsoft.Mashup.OleDb.1;Data Source=$Workbook$;Location=objednavky_analyza;Extended Properties=&quot;&quot;" command="SELECT * FROM [objednavky_analyz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<sst xmlns="http://schemas.openxmlformats.org/spreadsheetml/2006/main" count="3081" uniqueCount="148">
  <si>
    <t>order_id</t>
  </si>
  <si>
    <t>order_date</t>
  </si>
  <si>
    <t>order_amount</t>
  </si>
  <si>
    <t>customer_id</t>
  </si>
  <si>
    <t>customer_name</t>
  </si>
  <si>
    <t>customer_type</t>
  </si>
  <si>
    <t>region</t>
  </si>
  <si>
    <t>Měsíc</t>
  </si>
  <si>
    <t>Zákazník 042</t>
  </si>
  <si>
    <t>B2C</t>
  </si>
  <si>
    <t>Praha</t>
  </si>
  <si>
    <t>Zákazník 057</t>
  </si>
  <si>
    <t>Jihočeský</t>
  </si>
  <si>
    <t>Zákazník 076</t>
  </si>
  <si>
    <t>Zákazník 037</t>
  </si>
  <si>
    <t>Zákazník 046</t>
  </si>
  <si>
    <t>Středočeský</t>
  </si>
  <si>
    <t>Firma 005</t>
  </si>
  <si>
    <t>B2B</t>
  </si>
  <si>
    <t>Plzeňský</t>
  </si>
  <si>
    <t>Zákazník 033</t>
  </si>
  <si>
    <t>Firma 016</t>
  </si>
  <si>
    <t>Zákazník 050</t>
  </si>
  <si>
    <t>Firma 029</t>
  </si>
  <si>
    <t>Zákazník 034</t>
  </si>
  <si>
    <t>Zákazník 039</t>
  </si>
  <si>
    <t>Firma 004</t>
  </si>
  <si>
    <t>Firma 003</t>
  </si>
  <si>
    <t>Zákazník 062</t>
  </si>
  <si>
    <t>Zákazník 049</t>
  </si>
  <si>
    <t>Firma 020</t>
  </si>
  <si>
    <t>Firma 011</t>
  </si>
  <si>
    <t>Zákazník 074</t>
  </si>
  <si>
    <t>Zákazník 061</t>
  </si>
  <si>
    <t>Firma 027</t>
  </si>
  <si>
    <t>Zákazník 067</t>
  </si>
  <si>
    <t>Zákazník 051</t>
  </si>
  <si>
    <t>Firma 021</t>
  </si>
  <si>
    <t>Firma 019</t>
  </si>
  <si>
    <t>Zákazník 071</t>
  </si>
  <si>
    <t>Zákazník 035</t>
  </si>
  <si>
    <t>Firma 008</t>
  </si>
  <si>
    <t>Firma 014</t>
  </si>
  <si>
    <t>Zákazník 056</t>
  </si>
  <si>
    <t>Zákazník 069</t>
  </si>
  <si>
    <t>Zákazník 064</t>
  </si>
  <si>
    <t>Firma 002</t>
  </si>
  <si>
    <t>Firma 026</t>
  </si>
  <si>
    <t>Firma 006</t>
  </si>
  <si>
    <t>Zákazník 073</t>
  </si>
  <si>
    <t>Firma 013</t>
  </si>
  <si>
    <t>Firma 015</t>
  </si>
  <si>
    <t>Zákazník 038</t>
  </si>
  <si>
    <t>Zákazník 054</t>
  </si>
  <si>
    <t>Firma 001</t>
  </si>
  <si>
    <t>Zákazník 063</t>
  </si>
  <si>
    <t>Firma 009</t>
  </si>
  <si>
    <t>neznámý</t>
  </si>
  <si>
    <t>Zákazník 040</t>
  </si>
  <si>
    <t>Zákazník 066</t>
  </si>
  <si>
    <t>Firma 022</t>
  </si>
  <si>
    <t>Zákazník 052</t>
  </si>
  <si>
    <t>Zákazník 045</t>
  </si>
  <si>
    <t>Zákazník 055</t>
  </si>
  <si>
    <t>Firma 010</t>
  </si>
  <si>
    <t>Zákazník 032</t>
  </si>
  <si>
    <t>Firma 007</t>
  </si>
  <si>
    <t>Firma 025</t>
  </si>
  <si>
    <t>Zákazník 047</t>
  </si>
  <si>
    <t>Zákazník 065</t>
  </si>
  <si>
    <t>Firma 030</t>
  </si>
  <si>
    <t>Firma 018</t>
  </si>
  <si>
    <t>Firma 024</t>
  </si>
  <si>
    <t>Firma 017</t>
  </si>
  <si>
    <t>Zákazník 048</t>
  </si>
  <si>
    <t>Firma 012</t>
  </si>
  <si>
    <t>Zákazník 072</t>
  </si>
  <si>
    <t>Zákazník 031</t>
  </si>
  <si>
    <t>Zákazník 044</t>
  </si>
  <si>
    <t>Firma 028</t>
  </si>
  <si>
    <t>Zákazník 041</t>
  </si>
  <si>
    <t>Zákazník 068</t>
  </si>
  <si>
    <t>Zákazník 053</t>
  </si>
  <si>
    <t>Zákazník 036</t>
  </si>
  <si>
    <t>Zákazník 058</t>
  </si>
  <si>
    <t>Zákazník 075</t>
  </si>
  <si>
    <t>Zákazník 059</t>
  </si>
  <si>
    <t>Zákazník 070</t>
  </si>
  <si>
    <t>Firma 023</t>
  </si>
  <si>
    <t>Zákazník 060</t>
  </si>
  <si>
    <t>Zákazník 043</t>
  </si>
  <si>
    <t>Tržby</t>
  </si>
  <si>
    <t>Objednávky</t>
  </si>
  <si>
    <t>Celkem</t>
  </si>
  <si>
    <t>Stř. hodnota</t>
  </si>
  <si>
    <t>Chyba stř. hodnoty</t>
  </si>
  <si>
    <t>Medián</t>
  </si>
  <si>
    <t>Modus</t>
  </si>
  <si>
    <t>Směr. odchylka</t>
  </si>
  <si>
    <t>Rozptyl výběru</t>
  </si>
  <si>
    <t>Špičatost</t>
  </si>
  <si>
    <t>Šikmost</t>
  </si>
  <si>
    <t>Rozdíl max-min</t>
  </si>
  <si>
    <t>Minimum</t>
  </si>
  <si>
    <t>Maximum</t>
  </si>
  <si>
    <t>Součet</t>
  </si>
  <si>
    <t>Počet</t>
  </si>
  <si>
    <t>Průměrné měsíční tržby dosáhly 416 728 Kč a medián 406 194 Kč. Tržby se pohybovaly od 263 937 Kč v srpnu do 610 329 Kč v prosinci.</t>
  </si>
  <si>
    <t>Průměr je vyšší než medián, protože silné měsíce, zejména říjen a prosinec, ho táhnou nahoru. Tomu odpovídá také kladná šikmost.</t>
  </si>
  <si>
    <t>Průměrná objednávka</t>
  </si>
  <si>
    <t>Korelace tržby x objednávky:</t>
  </si>
  <si>
    <t>Mezi měsíčním počtem objednávek a tržbami byla v roce 2025 silná kladná souvislost (r = 0,83).</t>
  </si>
  <si>
    <t>Lineární model podle počtu objednávek vysvětloval přibližně 69 % variability měsíčních tržeb (R² = 0,6894).</t>
  </si>
  <si>
    <t>Výši tržeb ovlivňovala také průměrná hodnota objednávky: listopad měl více objednávek než prosinec, ale nižší tržby.</t>
  </si>
  <si>
    <t>Pro hodnocení výkonnosti je proto vhodné sledovat všechny tři ukazatele společně.</t>
  </si>
  <si>
    <t>Výsledek vychází z 12 měsíců a neprokazuje příčinný vztah.</t>
  </si>
  <si>
    <t>Závěr:</t>
  </si>
  <si>
    <t>V roce 2025 bylo realizováno 995 objednávek s celkovými tržbami 5 000 742 Kč.</t>
  </si>
  <si>
    <t>Nejvyšší tržby měl prosinec (610 329 Kč), nejnižší srpen (263 937 Kč).</t>
  </si>
  <si>
    <t>Nejvíce objednávek bylo v listopadu (114), přesto prosinec dosáhl vyšších tržeb díky vyšší průměrné hodnotě objednávky.</t>
  </si>
  <si>
    <t>Vývoj tržeb proto posuzujeme společně s počtem objednávek a jejich průměrnou hodnotou.</t>
  </si>
  <si>
    <t>Po srpnovém minimu následoval v září největší meziměsíční růst tržeb.</t>
  </si>
  <si>
    <t>Z jednoho roku se nedá potvrdit opakující se sezónnost.</t>
  </si>
  <si>
    <t>Popisky řádků</t>
  </si>
  <si>
    <t>Celkový součet</t>
  </si>
  <si>
    <t>Segment</t>
  </si>
  <si>
    <t>Podíl na tržbách</t>
  </si>
  <si>
    <t>B2B tak tvořil hlavní zdroj tržeb, zatímco B2C měl vyšší počet objednávek.</t>
  </si>
  <si>
    <t>Segment B2B generoval 83 % celkových tržeb při 425 objednávkách, zatímco B2C 17 % tržeb při 570 objednávkách.</t>
  </si>
  <si>
    <t>Průměrná hodnota objednávky B2B byla přibližně 6,4krát vyšší.</t>
  </si>
  <si>
    <t>Medián B2B:</t>
  </si>
  <si>
    <t>Medián B2C:</t>
  </si>
  <si>
    <t>Medián hodnoty objednávky dosáhl 9 464 Kč u B2B a 1 511 Kč u B2C. V obou segmentech byl blízko průměru.</t>
  </si>
  <si>
    <t>Výrazně vyšší hodnota objednávek B2B se tak potvrzuje také při porovnání mediánů.</t>
  </si>
  <si>
    <t>Nejvyšší tržby v segmentu B2B přinesla Firma 004 (291 300 Kč), následovaná Firmou 027 a Firmou 013. Tito tři zákazníci vytvořili dohromady 668 636 Kč.</t>
  </si>
  <si>
    <t>V segmentu B2C vedl Zákazník 074 (29 857 Kč), následovaný Zákazníkem 072 a Zákazníkem 045. Jejich souhrnné tržby dosáhly 87 683 Kč.</t>
  </si>
  <si>
    <t>Pořadí vyjadřuje přínos zákazníků k tržbám za rok 2025. Ziskovost nelze určit, protože nejsou k dispozici data o nákladech.</t>
  </si>
  <si>
    <t>Ziskovost segmentů nelze uzrčit, protože nejsou data o nákladech.</t>
  </si>
  <si>
    <t>Tržby TOP 3</t>
  </si>
  <si>
    <t>Tržby celkem</t>
  </si>
  <si>
    <t>Podíl TOP 3</t>
  </si>
  <si>
    <t>B1C</t>
  </si>
  <si>
    <t>Tři největší zákazníci vytvořili 16,16 % tržeb segmentu B2B a 10,15 % tržeb segmentu B2C.</t>
  </si>
  <si>
    <t>Tržby B2B jsou tedy podle tohoto ukazatele více soustředěné u největších zákazníků. Je tedy vhodné sledovat jejich další nákupy a věnovat jim tvýšenou pozornost.</t>
  </si>
  <si>
    <t>TOP ZÁKAZNÍCI</t>
  </si>
  <si>
    <t>SEGMENTY</t>
  </si>
  <si>
    <t>TRŽBY A OBJEDNÁVKY - SDA</t>
  </si>
  <si>
    <t>TRŽBY A OBJEDNÁVKY - 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</si>
</sst>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Kč&quot;"/>
  </numFmts>
  <fonts count="8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3" fillId="0" borderId="2" xfId="0" applyFont="1" applyBorder="1" applyAlignment="1">
      <alignment horizontal="centerContinuous"/>
    </xf>
    <xf numFmtId="0" fontId="3" fillId="2" borderId="0" xfId="0" applyFont="1" applyFill="1"/>
    <xf numFmtId="1" fontId="0" fillId="0" borderId="0" xfId="0" applyNumberFormat="1"/>
    <xf numFmtId="0" fontId="0" fillId="0" borderId="0" xfId="0" applyNumberFormat="1"/>
    <xf numFmtId="10" fontId="0" fillId="0" borderId="0" xfId="0" applyNumberFormat="1"/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164" fontId="3" fillId="0" borderId="0" xfId="0" applyNumberFormat="1" applyFont="1"/>
    <xf numFmtId="164" fontId="5" fillId="0" borderId="0" xfId="0" applyNumberFormat="1" applyFont="1"/>
    <xf numFmtId="10" fontId="0" fillId="0" borderId="0" xfId="1" applyNumberFormat="1" applyFont="1"/>
    <xf numFmtId="0" fontId="7" fillId="0" borderId="0" xfId="0" applyFont="1"/>
  </cellXfs>
  <cellStyles count="2">
    <cellStyle name="Normální" xfId="0" builtinId="0"/>
    <cellStyle name="Procenta" xfId="1" builtinId="5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4" formatCode="0.00%"/>
    </dxf>
    <dxf>
      <numFmt numFmtId="164" formatCode="#,##0\ &quot;Kč&quot;"/>
    </dxf>
    <dxf>
      <numFmt numFmtId="164" formatCode="#,##0\ &quot;Kč&quot;"/>
    </dxf>
    <dxf>
      <alignment horizontal="left" vertical="bottom" textRotation="0" wrapText="0" indent="0" justifyLastLine="0" shrinkToFit="0" readingOrder="0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font>
        <b/>
      </font>
    </dxf>
    <dxf>
      <font>
        <b/>
      </font>
    </dxf>
    <dxf>
      <numFmt numFmtId="14" formatCode="0.00%"/>
    </dxf>
    <dxf>
      <numFmt numFmtId="164" formatCode="#,##0\ &quot;Kč&quot;"/>
    </dxf>
    <dxf>
      <numFmt numFmtId="164" formatCode="#,##0\ &quot;Kč&quot;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numFmt numFmtId="164" formatCode="#,##0\ &quot;Kč&quot;"/>
    </dxf>
    <dxf>
      <numFmt numFmtId="165" formatCode="#,##0\ _K_č"/>
    </dxf>
    <dxf>
      <numFmt numFmtId="164" formatCode="#,##0\ &quot;Kč&quot;"/>
    </dxf>
    <dxf>
      <numFmt numFmtId="164" formatCode="#,##0\ &quot;Kč&quot;"/>
    </dxf>
    <dxf>
      <numFmt numFmtId="166" formatCode="#,##0.00\ &quot;Kč&quot;"/>
    </dxf>
    <dxf>
      <numFmt numFmtId="166" formatCode="#,##0.00\ &quot;Kč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[sales_analysis.xlsx]Tržby_objednávky_EDA!Kontingenční tabulka1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Měsíční tržby 2025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Tržby_objednávky_EDA!$K$3</c:f>
              <c:strCache>
                <c:ptCount val="1"/>
                <c:pt idx="0">
                  <c:v>Celkem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Tržby_objednávky_EDA!$J$4:$J$16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Tržby_objednávky_EDA!$K$4:$K$16</c:f>
              <c:numCache>
                <c:formatCode>#\ ##0\ "Kč"</c:formatCode>
                <c:ptCount val="12"/>
                <c:pt idx="0">
                  <c:v>303907.25</c:v>
                </c:pt>
                <c:pt idx="1">
                  <c:v>356298.25</c:v>
                </c:pt>
                <c:pt idx="2">
                  <c:v>342990</c:v>
                </c:pt>
                <c:pt idx="3">
                  <c:v>412273.5</c:v>
                </c:pt>
                <c:pt idx="4">
                  <c:v>429765.25</c:v>
                </c:pt>
                <c:pt idx="5">
                  <c:v>400114.75</c:v>
                </c:pt>
                <c:pt idx="6">
                  <c:v>351043.5</c:v>
                </c:pt>
                <c:pt idx="7">
                  <c:v>263936.5</c:v>
                </c:pt>
                <c:pt idx="8">
                  <c:v>462648.5</c:v>
                </c:pt>
                <c:pt idx="9">
                  <c:v>608842.75</c:v>
                </c:pt>
                <c:pt idx="10">
                  <c:v>458593</c:v>
                </c:pt>
                <c:pt idx="11">
                  <c:v>610328.5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7-406F-A17A-71CCE03BA0F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48145632"/>
        <c:axId val="812888207"/>
      </c:lineChart>
      <c:catAx>
        <c:axId val="204814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812888207"/>
        <c:crosses val="autoZero"/>
        <c:auto val="1"/>
        <c:lblAlgn val="ctr"/>
        <c:lblOffset val="100"/>
        <c:noMultiLvlLbl val="0"/>
      </c:catAx>
      <c:valAx>
        <c:axId val="81288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4814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Vztah počtu</a:t>
            </a:r>
            <a:r>
              <a:rPr lang="cs-CZ" b="1" baseline="0"/>
              <a:t> objednávek a tržeb</a:t>
            </a:r>
            <a:endParaRPr lang="en-US" b="1"/>
          </a:p>
        </c:rich>
      </c:tx>
      <c:layout>
        <c:manualLayout>
          <c:xMode val="edge"/>
          <c:yMode val="edge"/>
          <c:x val="0.2142290026246719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Měsíce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cs-CZ"/>
                </a:p>
              </c:txPr>
            </c:trendlineLbl>
          </c:trendline>
          <c:xVal>
            <c:numRef>
              <c:f>Tržby_objednávky_EDA!$O$20:$O$31</c:f>
              <c:numCache>
                <c:formatCode>0</c:formatCode>
                <c:ptCount val="12"/>
                <c:pt idx="0">
                  <c:v>65</c:v>
                </c:pt>
                <c:pt idx="1">
                  <c:v>62</c:v>
                </c:pt>
                <c:pt idx="2">
                  <c:v>74</c:v>
                </c:pt>
                <c:pt idx="3">
                  <c:v>77</c:v>
                </c:pt>
                <c:pt idx="4">
                  <c:v>80</c:v>
                </c:pt>
                <c:pt idx="5">
                  <c:v>82</c:v>
                </c:pt>
                <c:pt idx="6">
                  <c:v>68</c:v>
                </c:pt>
                <c:pt idx="7">
                  <c:v>70</c:v>
                </c:pt>
                <c:pt idx="8">
                  <c:v>92</c:v>
                </c:pt>
                <c:pt idx="9">
                  <c:v>100</c:v>
                </c:pt>
                <c:pt idx="10">
                  <c:v>114</c:v>
                </c:pt>
                <c:pt idx="11">
                  <c:v>111</c:v>
                </c:pt>
              </c:numCache>
            </c:numRef>
          </c:xVal>
          <c:yVal>
            <c:numRef>
              <c:f>Tržby_objednávky_EDA!$N$20:$N$31</c:f>
              <c:numCache>
                <c:formatCode>#\ ##0\ "Kč"</c:formatCode>
                <c:ptCount val="12"/>
                <c:pt idx="0">
                  <c:v>303907.25</c:v>
                </c:pt>
                <c:pt idx="1">
                  <c:v>356298.25</c:v>
                </c:pt>
                <c:pt idx="2">
                  <c:v>342990</c:v>
                </c:pt>
                <c:pt idx="3">
                  <c:v>412273.5</c:v>
                </c:pt>
                <c:pt idx="4">
                  <c:v>429765.25</c:v>
                </c:pt>
                <c:pt idx="5">
                  <c:v>400114.75</c:v>
                </c:pt>
                <c:pt idx="6">
                  <c:v>351043.5</c:v>
                </c:pt>
                <c:pt idx="7">
                  <c:v>263936.5</c:v>
                </c:pt>
                <c:pt idx="8">
                  <c:v>462648.5</c:v>
                </c:pt>
                <c:pt idx="9">
                  <c:v>608842.75</c:v>
                </c:pt>
                <c:pt idx="10">
                  <c:v>458593</c:v>
                </c:pt>
                <c:pt idx="11">
                  <c:v>610328.5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B-4CB7-9E96-02BA4D45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422895"/>
        <c:axId val="1196264175"/>
      </c:scatterChart>
      <c:valAx>
        <c:axId val="1232422895"/>
        <c:scaling>
          <c:orientation val="minMax"/>
          <c:min val="60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196264175"/>
        <c:crosses val="autoZero"/>
        <c:crossBetween val="midCat"/>
      </c:valAx>
      <c:valAx>
        <c:axId val="1196264175"/>
        <c:scaling>
          <c:orientation val="minMax"/>
          <c:max val="7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32422895"/>
        <c:crosses val="autoZero"/>
        <c:crossBetween val="midCat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[sales_analysis.xlsx]Segmenty!Kontingenční tabulka1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Tržby podle segmentu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Segmenty!$K$3</c:f>
              <c:strCache>
                <c:ptCount val="1"/>
                <c:pt idx="0">
                  <c:v>Objednávky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Segmenty!$J$4:$J$6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Segmenty!$K$4:$K$6</c:f>
              <c:numCache>
                <c:formatCode>General</c:formatCode>
                <c:ptCount val="2"/>
                <c:pt idx="0">
                  <c:v>425</c:v>
                </c:pt>
                <c:pt idx="1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8-4FE2-B245-94F110F64AE2}"/>
            </c:ext>
          </c:extLst>
        </c:ser>
        <c:ser>
          <c:idx val="1"/>
          <c:order val="1"/>
          <c:tx>
            <c:strRef>
              <c:f>Segmenty!$L$3</c:f>
              <c:strCache>
                <c:ptCount val="1"/>
                <c:pt idx="0">
                  <c:v>Tržby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Segmenty!$J$4:$J$6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Segmenty!$L$4:$L$6</c:f>
              <c:numCache>
                <c:formatCode>#\ ##0\ "Kč"</c:formatCode>
                <c:ptCount val="2"/>
                <c:pt idx="0">
                  <c:v>4136475.75</c:v>
                </c:pt>
                <c:pt idx="1">
                  <c:v>864266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78-4FE2-B245-94F110F64AE2}"/>
            </c:ext>
          </c:extLst>
        </c:ser>
        <c:ser>
          <c:idx val="2"/>
          <c:order val="2"/>
          <c:tx>
            <c:strRef>
              <c:f>Segmenty!$M$3</c:f>
              <c:strCache>
                <c:ptCount val="1"/>
                <c:pt idx="0">
                  <c:v>Průměrná objednávka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Segmenty!$J$4:$J$6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Segmenty!$M$4:$M$6</c:f>
              <c:numCache>
                <c:formatCode>#\ ##0\ "Kč"</c:formatCode>
                <c:ptCount val="2"/>
                <c:pt idx="0">
                  <c:v>9732.8841176470596</c:v>
                </c:pt>
                <c:pt idx="1">
                  <c:v>1516.2561403508771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8-4FE2-B245-94F110F64AE2}"/>
            </c:ext>
          </c:extLst>
        </c:ser>
        <c:ser>
          <c:idx val="3"/>
          <c:order val="3"/>
          <c:tx>
            <c:strRef>
              <c:f>Segmenty!$N$3</c:f>
              <c:strCache>
                <c:ptCount val="1"/>
                <c:pt idx="0">
                  <c:v>Podíl na tržbách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Segmenty!$J$4:$J$6</c:f>
              <c:strCache>
                <c:ptCount val="2"/>
                <c:pt idx="0">
                  <c:v>B2B</c:v>
                </c:pt>
                <c:pt idx="1">
                  <c:v>B2C</c:v>
                </c:pt>
              </c:strCache>
            </c:strRef>
          </c:cat>
          <c:val>
            <c:numRef>
              <c:f>Segmenty!$N$4:$N$6</c:f>
              <c:numCache>
                <c:formatCode>0.00%</c:formatCode>
                <c:ptCount val="2"/>
                <c:pt idx="0">
                  <c:v>0.82717243896867898</c:v>
                </c:pt>
                <c:pt idx="1">
                  <c:v>0.17282756103132099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8-4FE2-B245-94F110F64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2480895"/>
        <c:axId val="1306482415"/>
      </c:barChart>
      <c:catAx>
        <c:axId val="12324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06482415"/>
        <c:crosses val="autoZero"/>
        <c:auto val="1"/>
        <c:lblAlgn val="ctr"/>
        <c:lblOffset val="100"/>
        <c:noMultiLvlLbl val="0"/>
      </c:catAx>
      <c:valAx>
        <c:axId val="130648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3248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2</xdr:row>
      <xdr:rowOff>0</xdr:rowOff>
    </xdr:from>
    <xdr:to>
      <xdr:col>8</xdr:col>
      <xdr:colOff>7620</xdr:colOff>
      <xdr:row>16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2C3EAE7-CA9D-BCC1-21D7-79E2C7908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33132</xdr:rowOff>
    </xdr:from>
    <xdr:to>
      <xdr:col>4</xdr:col>
      <xdr:colOff>483704</xdr:colOff>
      <xdr:row>41</xdr:row>
      <xdr:rowOff>178906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C9EE4C9-4EE7-4FB1-AAC7-664B3D83B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2</xdr:row>
      <xdr:rowOff>22860</xdr:rowOff>
    </xdr:from>
    <xdr:to>
      <xdr:col>7</xdr:col>
      <xdr:colOff>579120</xdr:colOff>
      <xdr:row>16</xdr:row>
      <xdr:rowOff>175260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E6B76A51-7C93-6FB3-9845-C4D922DF2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tišek Papst" refreshedDate="46306.68549236111" createdVersion="8" refreshedVersion="8" minRefreshableVersion="3" recordCount="995" xr:uid="{F47542C6-9291-4E9F-B06F-601143630E66}">
  <cacheSource type="worksheet">
    <worksheetSource name="objednavky_analyza"/>
  </cacheSource>
  <cacheFields count="8">
    <cacheField name="order_id" numFmtId="0">
      <sharedItems containsSemiMixedTypes="0" containsString="0" containsNumber="1" containsInteger="1" minValue="10001" maxValue="11000"/>
    </cacheField>
    <cacheField name="order_date" numFmtId="14">
      <sharedItems containsSemiMixedTypes="0" containsNonDate="0" containsDate="1" containsString="0" minDate="2025-01-01T00:00:00" maxDate="2026-01-01T00:00:00"/>
    </cacheField>
    <cacheField name="order_amount" numFmtId="0">
      <sharedItems containsSemiMixedTypes="0" containsString="0" containsNumber="1" minValue="252" maxValue="17978.75"/>
    </cacheField>
    <cacheField name="customer_id" numFmtId="0">
      <sharedItems containsSemiMixedTypes="0" containsString="0" containsNumber="1" containsInteger="1" minValue="1" maxValue="76"/>
    </cacheField>
    <cacheField name="customer_name" numFmtId="0">
      <sharedItems count="76">
        <s v="Zákazník 042"/>
        <s v="Zákazník 057"/>
        <s v="Zákazník 076"/>
        <s v="Zákazník 037"/>
        <s v="Zákazník 046"/>
        <s v="Firma 005"/>
        <s v="Zákazník 033"/>
        <s v="Firma 016"/>
        <s v="Zákazník 050"/>
        <s v="Firma 029"/>
        <s v="Zákazník 034"/>
        <s v="Zákazník 039"/>
        <s v="Firma 004"/>
        <s v="Firma 003"/>
        <s v="Zákazník 062"/>
        <s v="Zákazník 049"/>
        <s v="Firma 020"/>
        <s v="Firma 011"/>
        <s v="Zákazník 074"/>
        <s v="Zákazník 061"/>
        <s v="Firma 027"/>
        <s v="Zákazník 067"/>
        <s v="Zákazník 051"/>
        <s v="Firma 021"/>
        <s v="Firma 019"/>
        <s v="Zákazník 071"/>
        <s v="Zákazník 035"/>
        <s v="Firma 008"/>
        <s v="Firma 014"/>
        <s v="Zákazník 056"/>
        <s v="Zákazník 069"/>
        <s v="Zákazník 064"/>
        <s v="Firma 002"/>
        <s v="Firma 026"/>
        <s v="Firma 006"/>
        <s v="Zákazník 073"/>
        <s v="Firma 013"/>
        <s v="Firma 015"/>
        <s v="Zákazník 038"/>
        <s v="Zákazník 054"/>
        <s v="Firma 001"/>
        <s v="Zákazník 063"/>
        <s v="Firma 009"/>
        <s v="Zákazník 040"/>
        <s v="Zákazník 066"/>
        <s v="Firma 022"/>
        <s v="Zákazník 052"/>
        <s v="Zákazník 045"/>
        <s v="Zákazník 055"/>
        <s v="Firma 010"/>
        <s v="Zákazník 032"/>
        <s v="Firma 007"/>
        <s v="Firma 025"/>
        <s v="Zákazník 047"/>
        <s v="Zákazník 065"/>
        <s v="Firma 030"/>
        <s v="Firma 018"/>
        <s v="Firma 024"/>
        <s v="Firma 017"/>
        <s v="Zákazník 048"/>
        <s v="Firma 012"/>
        <s v="Zákazník 072"/>
        <s v="Zákazník 031"/>
        <s v="Zákazník 044"/>
        <s v="Firma 028"/>
        <s v="Zákazník 041"/>
        <s v="Zákazník 068"/>
        <s v="Zákazník 053"/>
        <s v="Zákazník 036"/>
        <s v="Zákazník 058"/>
        <s v="Zákazník 075"/>
        <s v="Zákazník 059"/>
        <s v="Zákazník 070"/>
        <s v="Firma 023"/>
        <s v="Zákazník 060"/>
        <s v="Zákazník 043"/>
      </sharedItems>
    </cacheField>
    <cacheField name="customer_type" numFmtId="0">
      <sharedItems count="2">
        <s v="B2C"/>
        <s v="B2B"/>
      </sharedItems>
    </cacheField>
    <cacheField name="region" numFmtId="0">
      <sharedItems/>
    </cacheField>
    <cacheField name="Měsíc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5">
  <r>
    <n v="10001"/>
    <d v="2025-01-20T00:00:00"/>
    <n v="348.25"/>
    <n v="42"/>
    <x v="0"/>
    <x v="0"/>
    <s v="Praha"/>
    <x v="0"/>
  </r>
  <r>
    <n v="10002"/>
    <d v="2025-01-30T00:00:00"/>
    <n v="1376.75"/>
    <n v="57"/>
    <x v="1"/>
    <x v="0"/>
    <s v="Jihočeský"/>
    <x v="0"/>
  </r>
  <r>
    <n v="10003"/>
    <d v="2025-01-25T00:00:00"/>
    <n v="823.75"/>
    <n v="76"/>
    <x v="2"/>
    <x v="0"/>
    <s v="Jihočeský"/>
    <x v="0"/>
  </r>
  <r>
    <n v="10004"/>
    <d v="2025-01-31T00:00:00"/>
    <n v="1211.75"/>
    <n v="37"/>
    <x v="3"/>
    <x v="0"/>
    <s v="Jihočeský"/>
    <x v="0"/>
  </r>
  <r>
    <n v="10005"/>
    <d v="2025-01-31T00:00:00"/>
    <n v="811.5"/>
    <n v="46"/>
    <x v="4"/>
    <x v="0"/>
    <s v="Středočeský"/>
    <x v="0"/>
  </r>
  <r>
    <n v="10006"/>
    <d v="2025-01-05T00:00:00"/>
    <n v="2124.75"/>
    <n v="57"/>
    <x v="1"/>
    <x v="0"/>
    <s v="Jihočeský"/>
    <x v="0"/>
  </r>
  <r>
    <n v="10007"/>
    <d v="2025-01-05T00:00:00"/>
    <n v="6259.75"/>
    <n v="5"/>
    <x v="5"/>
    <x v="1"/>
    <s v="Plzeňský"/>
    <x v="0"/>
  </r>
  <r>
    <n v="10008"/>
    <d v="2025-01-04T00:00:00"/>
    <n v="276.75"/>
    <n v="33"/>
    <x v="6"/>
    <x v="0"/>
    <s v="Praha"/>
    <x v="0"/>
  </r>
  <r>
    <n v="10009"/>
    <d v="2025-01-08T00:00:00"/>
    <n v="10056"/>
    <n v="16"/>
    <x v="7"/>
    <x v="1"/>
    <s v="Praha"/>
    <x v="0"/>
  </r>
  <r>
    <n v="10010"/>
    <d v="2025-01-18T00:00:00"/>
    <n v="267.75"/>
    <n v="50"/>
    <x v="8"/>
    <x v="0"/>
    <s v="Středočeský"/>
    <x v="0"/>
  </r>
  <r>
    <n v="10011"/>
    <d v="2025-01-31T00:00:00"/>
    <n v="2382.25"/>
    <n v="29"/>
    <x v="9"/>
    <x v="1"/>
    <s v="Praha"/>
    <x v="0"/>
  </r>
  <r>
    <n v="10012"/>
    <d v="2025-01-14T00:00:00"/>
    <n v="1870"/>
    <n v="34"/>
    <x v="10"/>
    <x v="0"/>
    <s v="Praha"/>
    <x v="0"/>
  </r>
  <r>
    <n v="10013"/>
    <d v="2025-01-15T00:00:00"/>
    <n v="1099"/>
    <n v="39"/>
    <x v="11"/>
    <x v="0"/>
    <s v="Plzeňský"/>
    <x v="0"/>
  </r>
  <r>
    <n v="10014"/>
    <d v="2025-01-24T00:00:00"/>
    <n v="13265.25"/>
    <n v="4"/>
    <x v="12"/>
    <x v="1"/>
    <s v="Středočeský"/>
    <x v="0"/>
  </r>
  <r>
    <n v="10015"/>
    <d v="2025-01-14T00:00:00"/>
    <n v="17901.25"/>
    <n v="3"/>
    <x v="13"/>
    <x v="1"/>
    <s v="Jihočeský"/>
    <x v="0"/>
  </r>
  <r>
    <n v="10016"/>
    <d v="2025-01-07T00:00:00"/>
    <n v="1501.25"/>
    <n v="62"/>
    <x v="14"/>
    <x v="0"/>
    <s v="Praha"/>
    <x v="0"/>
  </r>
  <r>
    <n v="10017"/>
    <d v="2025-01-18T00:00:00"/>
    <n v="2364.25"/>
    <n v="62"/>
    <x v="14"/>
    <x v="0"/>
    <s v="Praha"/>
    <x v="0"/>
  </r>
  <r>
    <n v="10018"/>
    <d v="2025-01-06T00:00:00"/>
    <n v="1808.75"/>
    <n v="49"/>
    <x v="15"/>
    <x v="0"/>
    <s v="Plzeňský"/>
    <x v="0"/>
  </r>
  <r>
    <n v="10019"/>
    <d v="2025-01-18T00:00:00"/>
    <n v="15655.25"/>
    <n v="20"/>
    <x v="16"/>
    <x v="1"/>
    <s v="Praha"/>
    <x v="0"/>
  </r>
  <r>
    <n v="10020"/>
    <d v="2025-01-10T00:00:00"/>
    <n v="10183"/>
    <n v="11"/>
    <x v="17"/>
    <x v="1"/>
    <s v="Plzeňský"/>
    <x v="0"/>
  </r>
  <r>
    <n v="10021"/>
    <d v="2025-01-04T00:00:00"/>
    <n v="1717.75"/>
    <n v="74"/>
    <x v="18"/>
    <x v="0"/>
    <s v="Středočeský"/>
    <x v="0"/>
  </r>
  <r>
    <n v="10022"/>
    <d v="2025-01-04T00:00:00"/>
    <n v="2626"/>
    <n v="61"/>
    <x v="19"/>
    <x v="0"/>
    <s v="Středočeský"/>
    <x v="0"/>
  </r>
  <r>
    <n v="10023"/>
    <d v="2025-01-28T00:00:00"/>
    <n v="15128.5"/>
    <n v="27"/>
    <x v="20"/>
    <x v="1"/>
    <s v="Plzeňský"/>
    <x v="0"/>
  </r>
  <r>
    <n v="10024"/>
    <d v="2025-01-05T00:00:00"/>
    <n v="1595.25"/>
    <n v="39"/>
    <x v="11"/>
    <x v="0"/>
    <s v="Plzeňský"/>
    <x v="0"/>
  </r>
  <r>
    <n v="10025"/>
    <d v="2025-01-08T00:00:00"/>
    <n v="680.25"/>
    <n v="67"/>
    <x v="21"/>
    <x v="0"/>
    <s v="Praha"/>
    <x v="0"/>
  </r>
  <r>
    <n v="10026"/>
    <d v="2025-01-23T00:00:00"/>
    <n v="1725.5"/>
    <n v="61"/>
    <x v="19"/>
    <x v="0"/>
    <s v="Středočeský"/>
    <x v="0"/>
  </r>
  <r>
    <n v="10027"/>
    <d v="2025-01-18T00:00:00"/>
    <n v="541"/>
    <n v="51"/>
    <x v="22"/>
    <x v="0"/>
    <s v="Plzeňský"/>
    <x v="0"/>
  </r>
  <r>
    <n v="10028"/>
    <d v="2025-01-14T00:00:00"/>
    <n v="12446"/>
    <n v="21"/>
    <x v="23"/>
    <x v="1"/>
    <s v="Středočeský"/>
    <x v="0"/>
  </r>
  <r>
    <n v="10029"/>
    <d v="2025-01-07T00:00:00"/>
    <n v="7013.5"/>
    <n v="19"/>
    <x v="24"/>
    <x v="1"/>
    <s v="Praha"/>
    <x v="0"/>
  </r>
  <r>
    <n v="10030"/>
    <d v="2025-01-05T00:00:00"/>
    <n v="2165.5"/>
    <n v="71"/>
    <x v="25"/>
    <x v="0"/>
    <s v="Středočeský"/>
    <x v="0"/>
  </r>
  <r>
    <n v="10031"/>
    <d v="2025-01-11T00:00:00"/>
    <n v="2175.75"/>
    <n v="29"/>
    <x v="9"/>
    <x v="1"/>
    <s v="Praha"/>
    <x v="0"/>
  </r>
  <r>
    <n v="10032"/>
    <d v="2025-01-21T00:00:00"/>
    <n v="1854"/>
    <n v="35"/>
    <x v="26"/>
    <x v="0"/>
    <s v="Praha"/>
    <x v="0"/>
  </r>
  <r>
    <n v="10033"/>
    <d v="2025-01-02T00:00:00"/>
    <n v="4559.5"/>
    <n v="8"/>
    <x v="27"/>
    <x v="1"/>
    <s v="Středočeský"/>
    <x v="0"/>
  </r>
  <r>
    <n v="10034"/>
    <d v="2025-01-25T00:00:00"/>
    <n v="12915.25"/>
    <n v="14"/>
    <x v="28"/>
    <x v="1"/>
    <s v="Praha"/>
    <x v="0"/>
  </r>
  <r>
    <n v="10035"/>
    <d v="2025-01-02T00:00:00"/>
    <n v="3569.25"/>
    <n v="29"/>
    <x v="9"/>
    <x v="1"/>
    <s v="Praha"/>
    <x v="0"/>
  </r>
  <r>
    <n v="10036"/>
    <d v="2025-01-01T00:00:00"/>
    <n v="2443.25"/>
    <n v="56"/>
    <x v="29"/>
    <x v="0"/>
    <s v="Praha"/>
    <x v="0"/>
  </r>
  <r>
    <n v="10037"/>
    <d v="2025-01-16T00:00:00"/>
    <n v="1250"/>
    <n v="69"/>
    <x v="30"/>
    <x v="0"/>
    <s v="Plzeňský"/>
    <x v="0"/>
  </r>
  <r>
    <n v="10038"/>
    <d v="2025-01-03T00:00:00"/>
    <n v="1614"/>
    <n v="64"/>
    <x v="31"/>
    <x v="0"/>
    <s v="Jihočeský"/>
    <x v="0"/>
  </r>
  <r>
    <n v="10039"/>
    <d v="2025-01-10T00:00:00"/>
    <n v="6531.5"/>
    <n v="2"/>
    <x v="32"/>
    <x v="1"/>
    <s v="Praha"/>
    <x v="0"/>
  </r>
  <r>
    <n v="10040"/>
    <d v="2025-01-07T00:00:00"/>
    <n v="9113.75"/>
    <n v="26"/>
    <x v="33"/>
    <x v="1"/>
    <s v="Jihočeský"/>
    <x v="0"/>
  </r>
  <r>
    <n v="10041"/>
    <d v="2025-01-09T00:00:00"/>
    <n v="17784"/>
    <n v="6"/>
    <x v="34"/>
    <x v="1"/>
    <s v="Plzeňský"/>
    <x v="0"/>
  </r>
  <r>
    <n v="10042"/>
    <d v="2025-01-21T00:00:00"/>
    <n v="2304.75"/>
    <n v="73"/>
    <x v="35"/>
    <x v="0"/>
    <s v="Středočeský"/>
    <x v="0"/>
  </r>
  <r>
    <n v="10043"/>
    <d v="2025-01-26T00:00:00"/>
    <n v="13509.75"/>
    <n v="13"/>
    <x v="36"/>
    <x v="1"/>
    <s v="Jihočeský"/>
    <x v="0"/>
  </r>
  <r>
    <n v="10044"/>
    <d v="2025-01-01T00:00:00"/>
    <n v="1955.5"/>
    <n v="15"/>
    <x v="37"/>
    <x v="1"/>
    <s v="Praha"/>
    <x v="0"/>
  </r>
  <r>
    <n v="10045"/>
    <d v="2025-01-16T00:00:00"/>
    <n v="2744.75"/>
    <n v="20"/>
    <x v="16"/>
    <x v="1"/>
    <s v="Praha"/>
    <x v="0"/>
  </r>
  <r>
    <n v="10046"/>
    <d v="2025-01-28T00:00:00"/>
    <n v="1583"/>
    <n v="49"/>
    <x v="15"/>
    <x v="0"/>
    <s v="Plzeňský"/>
    <x v="0"/>
  </r>
  <r>
    <n v="10047"/>
    <d v="2025-01-01T00:00:00"/>
    <n v="15337.25"/>
    <n v="19"/>
    <x v="24"/>
    <x v="1"/>
    <s v="Praha"/>
    <x v="0"/>
  </r>
  <r>
    <n v="10048"/>
    <d v="2025-01-17T00:00:00"/>
    <n v="1488.75"/>
    <n v="39"/>
    <x v="11"/>
    <x v="0"/>
    <s v="Plzeňský"/>
    <x v="0"/>
  </r>
  <r>
    <n v="10049"/>
    <d v="2025-01-07T00:00:00"/>
    <n v="944.75"/>
    <n v="49"/>
    <x v="15"/>
    <x v="0"/>
    <s v="Plzeňský"/>
    <x v="0"/>
  </r>
  <r>
    <n v="10050"/>
    <d v="2025-01-01T00:00:00"/>
    <n v="1454"/>
    <n v="38"/>
    <x v="38"/>
    <x v="0"/>
    <s v="Plzeňský"/>
    <x v="0"/>
  </r>
  <r>
    <n v="10051"/>
    <d v="2025-01-28T00:00:00"/>
    <n v="1162.5"/>
    <n v="54"/>
    <x v="39"/>
    <x v="0"/>
    <s v="Jihočeský"/>
    <x v="0"/>
  </r>
  <r>
    <n v="10052"/>
    <d v="2025-01-17T00:00:00"/>
    <n v="5649"/>
    <n v="29"/>
    <x v="9"/>
    <x v="1"/>
    <s v="Praha"/>
    <x v="0"/>
  </r>
  <r>
    <n v="10053"/>
    <d v="2025-01-25T00:00:00"/>
    <n v="1009.5"/>
    <n v="71"/>
    <x v="25"/>
    <x v="0"/>
    <s v="Středočeský"/>
    <x v="0"/>
  </r>
  <r>
    <n v="10054"/>
    <d v="2025-01-02T00:00:00"/>
    <n v="994"/>
    <n v="76"/>
    <x v="2"/>
    <x v="0"/>
    <s v="Jihočeský"/>
    <x v="0"/>
  </r>
  <r>
    <n v="10055"/>
    <d v="2025-01-05T00:00:00"/>
    <n v="8677"/>
    <n v="1"/>
    <x v="40"/>
    <x v="1"/>
    <s v="Plzeňský"/>
    <x v="0"/>
  </r>
  <r>
    <n v="10056"/>
    <d v="2025-01-27T00:00:00"/>
    <n v="1363.25"/>
    <n v="63"/>
    <x v="41"/>
    <x v="0"/>
    <s v="Praha"/>
    <x v="0"/>
  </r>
  <r>
    <n v="10057"/>
    <d v="2025-01-29T00:00:00"/>
    <n v="2063.25"/>
    <n v="61"/>
    <x v="19"/>
    <x v="0"/>
    <s v="Středočeský"/>
    <x v="0"/>
  </r>
  <r>
    <n v="10058"/>
    <d v="2025-01-25T00:00:00"/>
    <n v="12508"/>
    <n v="9"/>
    <x v="42"/>
    <x v="1"/>
    <s v="neznámý"/>
    <x v="0"/>
  </r>
  <r>
    <n v="10059"/>
    <d v="2025-01-18T00:00:00"/>
    <n v="11875"/>
    <n v="13"/>
    <x v="36"/>
    <x v="1"/>
    <s v="Jihočeský"/>
    <x v="0"/>
  </r>
  <r>
    <n v="10060"/>
    <d v="2025-01-25T00:00:00"/>
    <n v="2291.25"/>
    <n v="40"/>
    <x v="43"/>
    <x v="0"/>
    <s v="Plzeňský"/>
    <x v="0"/>
  </r>
  <r>
    <n v="10061"/>
    <d v="2025-01-16T00:00:00"/>
    <n v="2452.75"/>
    <n v="66"/>
    <x v="44"/>
    <x v="0"/>
    <s v="Plzeňský"/>
    <x v="0"/>
  </r>
  <r>
    <n v="10062"/>
    <d v="2025-01-19T00:00:00"/>
    <n v="8310.25"/>
    <n v="22"/>
    <x v="45"/>
    <x v="1"/>
    <s v="Praha"/>
    <x v="0"/>
  </r>
  <r>
    <n v="10063"/>
    <d v="2025-01-22T00:00:00"/>
    <n v="1281.5"/>
    <n v="52"/>
    <x v="46"/>
    <x v="0"/>
    <s v="Jihočeský"/>
    <x v="0"/>
  </r>
  <r>
    <n v="10064"/>
    <d v="2025-01-29T00:00:00"/>
    <n v="1617.75"/>
    <n v="52"/>
    <x v="46"/>
    <x v="0"/>
    <s v="Jihočeský"/>
    <x v="0"/>
  </r>
  <r>
    <n v="10065"/>
    <d v="2025-01-21T00:00:00"/>
    <n v="293"/>
    <n v="62"/>
    <x v="14"/>
    <x v="0"/>
    <s v="Praha"/>
    <x v="0"/>
  </r>
  <r>
    <n v="10066"/>
    <d v="2025-02-27T00:00:00"/>
    <n v="17184.25"/>
    <n v="9"/>
    <x v="42"/>
    <x v="1"/>
    <s v="neznámý"/>
    <x v="1"/>
  </r>
  <r>
    <n v="10067"/>
    <d v="2025-02-20T00:00:00"/>
    <n v="15255.5"/>
    <n v="19"/>
    <x v="24"/>
    <x v="1"/>
    <s v="Praha"/>
    <x v="1"/>
  </r>
  <r>
    <n v="10068"/>
    <d v="2025-02-08T00:00:00"/>
    <n v="14260"/>
    <n v="8"/>
    <x v="27"/>
    <x v="1"/>
    <s v="Středočeský"/>
    <x v="1"/>
  </r>
  <r>
    <n v="10069"/>
    <d v="2025-02-10T00:00:00"/>
    <n v="10506"/>
    <n v="13"/>
    <x v="36"/>
    <x v="1"/>
    <s v="Jihočeský"/>
    <x v="1"/>
  </r>
  <r>
    <n v="10070"/>
    <d v="2025-02-28T00:00:00"/>
    <n v="2679"/>
    <n v="45"/>
    <x v="47"/>
    <x v="0"/>
    <s v="Praha"/>
    <x v="1"/>
  </r>
  <r>
    <n v="10071"/>
    <d v="2025-02-21T00:00:00"/>
    <n v="286.75"/>
    <n v="62"/>
    <x v="14"/>
    <x v="0"/>
    <s v="Praha"/>
    <x v="1"/>
  </r>
  <r>
    <n v="10072"/>
    <d v="2025-02-06T00:00:00"/>
    <n v="2588"/>
    <n v="55"/>
    <x v="48"/>
    <x v="0"/>
    <s v="Plzeňský"/>
    <x v="1"/>
  </r>
  <r>
    <n v="10073"/>
    <d v="2025-02-10T00:00:00"/>
    <n v="13928.75"/>
    <n v="9"/>
    <x v="42"/>
    <x v="1"/>
    <s v="neznámý"/>
    <x v="1"/>
  </r>
  <r>
    <n v="10074"/>
    <d v="2025-02-10T00:00:00"/>
    <n v="13719.25"/>
    <n v="10"/>
    <x v="49"/>
    <x v="1"/>
    <s v="Plzeňský"/>
    <x v="1"/>
  </r>
  <r>
    <n v="10075"/>
    <d v="2025-02-04T00:00:00"/>
    <n v="442.5"/>
    <n v="55"/>
    <x v="48"/>
    <x v="0"/>
    <s v="Plzeňský"/>
    <x v="1"/>
  </r>
  <r>
    <n v="10076"/>
    <d v="2025-02-11T00:00:00"/>
    <n v="1675.5"/>
    <n v="40"/>
    <x v="43"/>
    <x v="0"/>
    <s v="Plzeňský"/>
    <x v="1"/>
  </r>
  <r>
    <n v="10077"/>
    <d v="2025-02-27T00:00:00"/>
    <n v="1557.5"/>
    <n v="32"/>
    <x v="50"/>
    <x v="0"/>
    <s v="Jihočeský"/>
    <x v="1"/>
  </r>
  <r>
    <n v="10078"/>
    <d v="2025-02-26T00:00:00"/>
    <n v="13784.75"/>
    <n v="6"/>
    <x v="34"/>
    <x v="1"/>
    <s v="Plzeňský"/>
    <x v="1"/>
  </r>
  <r>
    <n v="10079"/>
    <d v="2025-02-20T00:00:00"/>
    <n v="3175"/>
    <n v="7"/>
    <x v="51"/>
    <x v="1"/>
    <s v="Praha"/>
    <x v="1"/>
  </r>
  <r>
    <n v="10080"/>
    <d v="2025-02-15T00:00:00"/>
    <n v="2704.75"/>
    <n v="63"/>
    <x v="41"/>
    <x v="0"/>
    <s v="Praha"/>
    <x v="1"/>
  </r>
  <r>
    <n v="10081"/>
    <d v="2025-02-05T00:00:00"/>
    <n v="8217.5"/>
    <n v="25"/>
    <x v="52"/>
    <x v="1"/>
    <s v="Praha"/>
    <x v="1"/>
  </r>
  <r>
    <n v="10082"/>
    <d v="2025-02-09T00:00:00"/>
    <n v="1728.25"/>
    <n v="47"/>
    <x v="53"/>
    <x v="0"/>
    <s v="Plzeňský"/>
    <x v="1"/>
  </r>
  <r>
    <n v="10083"/>
    <d v="2025-02-10T00:00:00"/>
    <n v="982.75"/>
    <n v="45"/>
    <x v="47"/>
    <x v="0"/>
    <s v="Praha"/>
    <x v="1"/>
  </r>
  <r>
    <n v="10084"/>
    <d v="2025-02-01T00:00:00"/>
    <n v="965.75"/>
    <n v="47"/>
    <x v="53"/>
    <x v="0"/>
    <s v="Plzeňský"/>
    <x v="1"/>
  </r>
  <r>
    <n v="10085"/>
    <d v="2025-02-05T00:00:00"/>
    <n v="2389.5"/>
    <n v="69"/>
    <x v="30"/>
    <x v="0"/>
    <s v="Plzeňský"/>
    <x v="1"/>
  </r>
  <r>
    <n v="10086"/>
    <d v="2025-02-24T00:00:00"/>
    <n v="1560"/>
    <n v="65"/>
    <x v="54"/>
    <x v="0"/>
    <s v="Plzeňský"/>
    <x v="1"/>
  </r>
  <r>
    <n v="10087"/>
    <d v="2025-02-10T00:00:00"/>
    <n v="2715.25"/>
    <n v="45"/>
    <x v="47"/>
    <x v="0"/>
    <s v="Praha"/>
    <x v="1"/>
  </r>
  <r>
    <n v="10088"/>
    <d v="2025-02-12T00:00:00"/>
    <n v="6920.75"/>
    <n v="21"/>
    <x v="23"/>
    <x v="1"/>
    <s v="Středočeský"/>
    <x v="1"/>
  </r>
  <r>
    <n v="10089"/>
    <d v="2025-02-06T00:00:00"/>
    <n v="15547.25"/>
    <n v="30"/>
    <x v="55"/>
    <x v="1"/>
    <s v="Praha"/>
    <x v="1"/>
  </r>
  <r>
    <n v="10090"/>
    <d v="2025-02-05T00:00:00"/>
    <n v="7728.25"/>
    <n v="18"/>
    <x v="56"/>
    <x v="1"/>
    <s v="Praha"/>
    <x v="1"/>
  </r>
  <r>
    <n v="10091"/>
    <d v="2025-02-19T00:00:00"/>
    <n v="379.25"/>
    <n v="71"/>
    <x v="25"/>
    <x v="0"/>
    <s v="Středočeský"/>
    <x v="1"/>
  </r>
  <r>
    <n v="10092"/>
    <d v="2025-02-23T00:00:00"/>
    <n v="2139"/>
    <n v="38"/>
    <x v="38"/>
    <x v="0"/>
    <s v="Plzeňský"/>
    <x v="1"/>
  </r>
  <r>
    <n v="10093"/>
    <d v="2025-02-27T00:00:00"/>
    <n v="1525.25"/>
    <n v="42"/>
    <x v="0"/>
    <x v="0"/>
    <s v="Praha"/>
    <x v="1"/>
  </r>
  <r>
    <n v="10094"/>
    <d v="2025-02-05T00:00:00"/>
    <n v="12138.5"/>
    <n v="4"/>
    <x v="12"/>
    <x v="1"/>
    <s v="Středočeský"/>
    <x v="1"/>
  </r>
  <r>
    <n v="10095"/>
    <d v="2025-02-26T00:00:00"/>
    <n v="880.75"/>
    <n v="46"/>
    <x v="4"/>
    <x v="0"/>
    <s v="Středočeský"/>
    <x v="1"/>
  </r>
  <r>
    <n v="10096"/>
    <d v="2025-02-04T00:00:00"/>
    <n v="12288"/>
    <n v="24"/>
    <x v="57"/>
    <x v="1"/>
    <s v="Jihočeský"/>
    <x v="1"/>
  </r>
  <r>
    <n v="10097"/>
    <d v="2025-02-02T00:00:00"/>
    <n v="1165.5"/>
    <n v="40"/>
    <x v="43"/>
    <x v="0"/>
    <s v="Plzeňský"/>
    <x v="1"/>
  </r>
  <r>
    <n v="10098"/>
    <d v="2025-02-05T00:00:00"/>
    <n v="14423.25"/>
    <n v="19"/>
    <x v="24"/>
    <x v="1"/>
    <s v="Praha"/>
    <x v="1"/>
  </r>
  <r>
    <n v="10099"/>
    <d v="2025-02-25T00:00:00"/>
    <n v="10609.25"/>
    <n v="17"/>
    <x v="58"/>
    <x v="1"/>
    <s v="Středočeský"/>
    <x v="1"/>
  </r>
  <r>
    <n v="10100"/>
    <d v="2025-02-06T00:00:00"/>
    <n v="1366.5"/>
    <n v="48"/>
    <x v="59"/>
    <x v="0"/>
    <s v="Středočeský"/>
    <x v="1"/>
  </r>
  <r>
    <n v="10101"/>
    <d v="2025-02-05T00:00:00"/>
    <n v="17481.75"/>
    <n v="21"/>
    <x v="23"/>
    <x v="1"/>
    <s v="Středočeský"/>
    <x v="1"/>
  </r>
  <r>
    <n v="10102"/>
    <d v="2025-02-14T00:00:00"/>
    <n v="8720.5"/>
    <n v="8"/>
    <x v="27"/>
    <x v="1"/>
    <s v="Středočeský"/>
    <x v="1"/>
  </r>
  <r>
    <n v="10103"/>
    <d v="2025-02-28T00:00:00"/>
    <n v="2657.75"/>
    <n v="63"/>
    <x v="41"/>
    <x v="0"/>
    <s v="Praha"/>
    <x v="1"/>
  </r>
  <r>
    <n v="10104"/>
    <d v="2025-02-06T00:00:00"/>
    <n v="11474.25"/>
    <n v="20"/>
    <x v="16"/>
    <x v="1"/>
    <s v="Praha"/>
    <x v="1"/>
  </r>
  <r>
    <n v="10105"/>
    <d v="2025-02-04T00:00:00"/>
    <n v="2596.5"/>
    <n v="62"/>
    <x v="14"/>
    <x v="0"/>
    <s v="Praha"/>
    <x v="1"/>
  </r>
  <r>
    <n v="10106"/>
    <d v="2025-02-16T00:00:00"/>
    <n v="5070.25"/>
    <n v="18"/>
    <x v="56"/>
    <x v="1"/>
    <s v="Praha"/>
    <x v="1"/>
  </r>
  <r>
    <n v="10107"/>
    <d v="2025-02-04T00:00:00"/>
    <n v="1588.75"/>
    <n v="42"/>
    <x v="0"/>
    <x v="0"/>
    <s v="Praha"/>
    <x v="1"/>
  </r>
  <r>
    <n v="10108"/>
    <d v="2025-02-10T00:00:00"/>
    <n v="2650.75"/>
    <n v="66"/>
    <x v="44"/>
    <x v="0"/>
    <s v="Plzeňský"/>
    <x v="1"/>
  </r>
  <r>
    <n v="10109"/>
    <d v="2025-02-19T00:00:00"/>
    <n v="4073.75"/>
    <n v="12"/>
    <x v="60"/>
    <x v="1"/>
    <s v="Středočeský"/>
    <x v="1"/>
  </r>
  <r>
    <n v="10110"/>
    <d v="2025-02-11T00:00:00"/>
    <n v="17824.25"/>
    <n v="29"/>
    <x v="9"/>
    <x v="1"/>
    <s v="Praha"/>
    <x v="1"/>
  </r>
  <r>
    <n v="10111"/>
    <d v="2025-02-28T00:00:00"/>
    <n v="2132.75"/>
    <n v="45"/>
    <x v="47"/>
    <x v="0"/>
    <s v="Praha"/>
    <x v="1"/>
  </r>
  <r>
    <n v="10112"/>
    <d v="2025-02-13T00:00:00"/>
    <n v="653"/>
    <n v="69"/>
    <x v="30"/>
    <x v="0"/>
    <s v="Plzeňský"/>
    <x v="1"/>
  </r>
  <r>
    <n v="10113"/>
    <d v="2025-02-27T00:00:00"/>
    <n v="2880.5"/>
    <n v="10"/>
    <x v="49"/>
    <x v="1"/>
    <s v="Plzeňský"/>
    <x v="1"/>
  </r>
  <r>
    <n v="10114"/>
    <d v="2025-02-14T00:00:00"/>
    <n v="10592.5"/>
    <n v="20"/>
    <x v="16"/>
    <x v="1"/>
    <s v="Praha"/>
    <x v="1"/>
  </r>
  <r>
    <n v="10115"/>
    <d v="2025-02-07T00:00:00"/>
    <n v="2251.25"/>
    <n v="72"/>
    <x v="61"/>
    <x v="0"/>
    <s v="Jihočeský"/>
    <x v="1"/>
  </r>
  <r>
    <n v="10116"/>
    <d v="2025-02-28T00:00:00"/>
    <n v="1252.25"/>
    <n v="69"/>
    <x v="30"/>
    <x v="0"/>
    <s v="Plzeňský"/>
    <x v="1"/>
  </r>
  <r>
    <n v="10117"/>
    <d v="2025-02-13T00:00:00"/>
    <n v="1954.25"/>
    <n v="7"/>
    <x v="51"/>
    <x v="1"/>
    <s v="Praha"/>
    <x v="1"/>
  </r>
  <r>
    <n v="10118"/>
    <d v="2025-02-15T00:00:00"/>
    <n v="5848.25"/>
    <n v="2"/>
    <x v="32"/>
    <x v="1"/>
    <s v="Praha"/>
    <x v="1"/>
  </r>
  <r>
    <n v="10119"/>
    <d v="2025-02-12T00:00:00"/>
    <n v="1491.5"/>
    <n v="32"/>
    <x v="50"/>
    <x v="0"/>
    <s v="Jihočeský"/>
    <x v="1"/>
  </r>
  <r>
    <n v="10120"/>
    <d v="2025-02-26T00:00:00"/>
    <n v="1953.75"/>
    <n v="31"/>
    <x v="62"/>
    <x v="0"/>
    <s v="Středočeský"/>
    <x v="1"/>
  </r>
  <r>
    <n v="10121"/>
    <d v="2025-02-06T00:00:00"/>
    <n v="1485"/>
    <n v="40"/>
    <x v="43"/>
    <x v="0"/>
    <s v="Plzeňský"/>
    <x v="1"/>
  </r>
  <r>
    <n v="10122"/>
    <d v="2025-02-13T00:00:00"/>
    <n v="6021.5"/>
    <n v="11"/>
    <x v="17"/>
    <x v="1"/>
    <s v="Plzeňský"/>
    <x v="1"/>
  </r>
  <r>
    <n v="10123"/>
    <d v="2025-02-20T00:00:00"/>
    <n v="2337.5"/>
    <n v="35"/>
    <x v="26"/>
    <x v="0"/>
    <s v="Praha"/>
    <x v="1"/>
  </r>
  <r>
    <n v="10124"/>
    <d v="2025-02-11T00:00:00"/>
    <n v="722.5"/>
    <n v="67"/>
    <x v="21"/>
    <x v="0"/>
    <s v="Praha"/>
    <x v="1"/>
  </r>
  <r>
    <n v="10125"/>
    <d v="2025-02-24T00:00:00"/>
    <n v="1338.25"/>
    <n v="56"/>
    <x v="29"/>
    <x v="0"/>
    <s v="Praha"/>
    <x v="1"/>
  </r>
  <r>
    <n v="10126"/>
    <d v="2025-02-04T00:00:00"/>
    <n v="15909.5"/>
    <n v="22"/>
    <x v="45"/>
    <x v="1"/>
    <s v="Praha"/>
    <x v="1"/>
  </r>
  <r>
    <n v="10127"/>
    <d v="2025-02-20T00:00:00"/>
    <n v="3917.5"/>
    <n v="27"/>
    <x v="20"/>
    <x v="1"/>
    <s v="Plzeňský"/>
    <x v="1"/>
  </r>
  <r>
    <n v="10128"/>
    <d v="2025-03-11T00:00:00"/>
    <n v="11374"/>
    <n v="27"/>
    <x v="20"/>
    <x v="1"/>
    <s v="Plzeňský"/>
    <x v="2"/>
  </r>
  <r>
    <n v="10129"/>
    <d v="2025-03-27T00:00:00"/>
    <n v="1824"/>
    <n v="73"/>
    <x v="35"/>
    <x v="0"/>
    <s v="Středočeský"/>
    <x v="2"/>
  </r>
  <r>
    <n v="10130"/>
    <d v="2025-03-21T00:00:00"/>
    <n v="2192.5"/>
    <n v="44"/>
    <x v="63"/>
    <x v="0"/>
    <s v="neznámý"/>
    <x v="2"/>
  </r>
  <r>
    <n v="10131"/>
    <d v="2025-03-10T00:00:00"/>
    <n v="4752"/>
    <n v="28"/>
    <x v="64"/>
    <x v="1"/>
    <s v="Jihočeský"/>
    <x v="2"/>
  </r>
  <r>
    <n v="10132"/>
    <d v="2025-03-26T00:00:00"/>
    <n v="1883.25"/>
    <n v="55"/>
    <x v="48"/>
    <x v="0"/>
    <s v="Plzeňský"/>
    <x v="2"/>
  </r>
  <r>
    <n v="10133"/>
    <d v="2025-03-28T00:00:00"/>
    <n v="2695.25"/>
    <n v="61"/>
    <x v="19"/>
    <x v="0"/>
    <s v="Středočeský"/>
    <x v="2"/>
  </r>
  <r>
    <n v="10134"/>
    <d v="2025-03-20T00:00:00"/>
    <n v="9121"/>
    <n v="22"/>
    <x v="45"/>
    <x v="1"/>
    <s v="Praha"/>
    <x v="2"/>
  </r>
  <r>
    <n v="10135"/>
    <d v="2025-03-23T00:00:00"/>
    <n v="1213.5"/>
    <n v="34"/>
    <x v="10"/>
    <x v="0"/>
    <s v="Praha"/>
    <x v="2"/>
  </r>
  <r>
    <n v="10136"/>
    <d v="2025-03-23T00:00:00"/>
    <n v="12556.5"/>
    <n v="18"/>
    <x v="56"/>
    <x v="1"/>
    <s v="Praha"/>
    <x v="2"/>
  </r>
  <r>
    <n v="10137"/>
    <d v="2025-03-19T00:00:00"/>
    <n v="2894.75"/>
    <n v="2"/>
    <x v="32"/>
    <x v="1"/>
    <s v="Praha"/>
    <x v="2"/>
  </r>
  <r>
    <n v="10138"/>
    <d v="2025-03-06T00:00:00"/>
    <n v="1591"/>
    <n v="74"/>
    <x v="18"/>
    <x v="0"/>
    <s v="Středočeský"/>
    <x v="2"/>
  </r>
  <r>
    <n v="10139"/>
    <d v="2025-03-16T00:00:00"/>
    <n v="2795"/>
    <n v="39"/>
    <x v="11"/>
    <x v="0"/>
    <s v="Plzeňský"/>
    <x v="2"/>
  </r>
  <r>
    <n v="10140"/>
    <d v="2025-03-17T00:00:00"/>
    <n v="1373"/>
    <n v="63"/>
    <x v="41"/>
    <x v="0"/>
    <s v="Praha"/>
    <x v="2"/>
  </r>
  <r>
    <n v="10141"/>
    <d v="2025-03-20T00:00:00"/>
    <n v="1060"/>
    <n v="46"/>
    <x v="4"/>
    <x v="0"/>
    <s v="Středočeský"/>
    <x v="2"/>
  </r>
  <r>
    <n v="10142"/>
    <d v="2025-03-13T00:00:00"/>
    <n v="636.25"/>
    <n v="66"/>
    <x v="44"/>
    <x v="0"/>
    <s v="Plzeňský"/>
    <x v="2"/>
  </r>
  <r>
    <n v="10143"/>
    <d v="2025-03-19T00:00:00"/>
    <n v="2411"/>
    <n v="41"/>
    <x v="65"/>
    <x v="0"/>
    <s v="Praha"/>
    <x v="2"/>
  </r>
  <r>
    <n v="10144"/>
    <d v="2025-03-15T00:00:00"/>
    <n v="2338.75"/>
    <n v="2"/>
    <x v="32"/>
    <x v="1"/>
    <s v="Praha"/>
    <x v="2"/>
  </r>
  <r>
    <n v="10145"/>
    <d v="2025-03-06T00:00:00"/>
    <n v="1696.5"/>
    <n v="68"/>
    <x v="66"/>
    <x v="0"/>
    <s v="neznámý"/>
    <x v="2"/>
  </r>
  <r>
    <n v="10146"/>
    <d v="2025-03-04T00:00:00"/>
    <n v="1116.25"/>
    <n v="64"/>
    <x v="31"/>
    <x v="0"/>
    <s v="Jihočeský"/>
    <x v="2"/>
  </r>
  <r>
    <n v="10147"/>
    <d v="2025-03-10T00:00:00"/>
    <n v="2292.75"/>
    <n v="57"/>
    <x v="1"/>
    <x v="0"/>
    <s v="Jihočeský"/>
    <x v="2"/>
  </r>
  <r>
    <n v="10148"/>
    <d v="2025-03-28T00:00:00"/>
    <n v="1323.25"/>
    <n v="53"/>
    <x v="67"/>
    <x v="0"/>
    <s v="Středočeský"/>
    <x v="2"/>
  </r>
  <r>
    <n v="10149"/>
    <d v="2025-03-30T00:00:00"/>
    <n v="559.75"/>
    <n v="76"/>
    <x v="2"/>
    <x v="0"/>
    <s v="Jihočeský"/>
    <x v="2"/>
  </r>
  <r>
    <n v="10150"/>
    <d v="2025-03-05T00:00:00"/>
    <n v="11401.25"/>
    <n v="17"/>
    <x v="58"/>
    <x v="1"/>
    <s v="Středočeský"/>
    <x v="2"/>
  </r>
  <r>
    <n v="10151"/>
    <d v="2025-03-02T00:00:00"/>
    <n v="14098.5"/>
    <n v="5"/>
    <x v="5"/>
    <x v="1"/>
    <s v="Plzeňský"/>
    <x v="2"/>
  </r>
  <r>
    <n v="10152"/>
    <d v="2025-03-27T00:00:00"/>
    <n v="15988.25"/>
    <n v="2"/>
    <x v="32"/>
    <x v="1"/>
    <s v="Praha"/>
    <x v="2"/>
  </r>
  <r>
    <n v="10153"/>
    <d v="2025-03-24T00:00:00"/>
    <n v="695"/>
    <n v="53"/>
    <x v="67"/>
    <x v="0"/>
    <s v="Středočeský"/>
    <x v="2"/>
  </r>
  <r>
    <n v="10154"/>
    <d v="2025-03-22T00:00:00"/>
    <n v="5030.75"/>
    <n v="12"/>
    <x v="60"/>
    <x v="1"/>
    <s v="Středočeský"/>
    <x v="2"/>
  </r>
  <r>
    <n v="10155"/>
    <d v="2025-03-08T00:00:00"/>
    <n v="12621.75"/>
    <n v="30"/>
    <x v="55"/>
    <x v="1"/>
    <s v="Praha"/>
    <x v="2"/>
  </r>
  <r>
    <n v="10157"/>
    <d v="2025-03-15T00:00:00"/>
    <n v="2328.25"/>
    <n v="36"/>
    <x v="68"/>
    <x v="0"/>
    <s v="Středočeský"/>
    <x v="2"/>
  </r>
  <r>
    <n v="10158"/>
    <d v="2025-03-28T00:00:00"/>
    <n v="1766.75"/>
    <n v="35"/>
    <x v="26"/>
    <x v="0"/>
    <s v="Praha"/>
    <x v="2"/>
  </r>
  <r>
    <n v="10159"/>
    <d v="2025-03-08T00:00:00"/>
    <n v="1631.75"/>
    <n v="51"/>
    <x v="22"/>
    <x v="0"/>
    <s v="Plzeňský"/>
    <x v="2"/>
  </r>
  <r>
    <n v="10160"/>
    <d v="2025-03-30T00:00:00"/>
    <n v="1154.75"/>
    <n v="58"/>
    <x v="69"/>
    <x v="0"/>
    <s v="Praha"/>
    <x v="2"/>
  </r>
  <r>
    <n v="10161"/>
    <d v="2025-03-16T00:00:00"/>
    <n v="1529.75"/>
    <n v="68"/>
    <x v="66"/>
    <x v="0"/>
    <s v="neznámý"/>
    <x v="2"/>
  </r>
  <r>
    <n v="10162"/>
    <d v="2025-03-11T00:00:00"/>
    <n v="771.75"/>
    <n v="45"/>
    <x v="47"/>
    <x v="0"/>
    <s v="Praha"/>
    <x v="2"/>
  </r>
  <r>
    <n v="10163"/>
    <d v="2025-03-07T00:00:00"/>
    <n v="2227.25"/>
    <n v="74"/>
    <x v="18"/>
    <x v="0"/>
    <s v="Středočeský"/>
    <x v="2"/>
  </r>
  <r>
    <n v="10164"/>
    <d v="2025-03-22T00:00:00"/>
    <n v="1380.25"/>
    <n v="32"/>
    <x v="50"/>
    <x v="0"/>
    <s v="Jihočeský"/>
    <x v="2"/>
  </r>
  <r>
    <n v="10165"/>
    <d v="2025-03-09T00:00:00"/>
    <n v="261.75"/>
    <n v="39"/>
    <x v="11"/>
    <x v="0"/>
    <s v="Plzeňský"/>
    <x v="2"/>
  </r>
  <r>
    <n v="10166"/>
    <d v="2025-03-09T00:00:00"/>
    <n v="3225"/>
    <n v="8"/>
    <x v="27"/>
    <x v="1"/>
    <s v="Středočeský"/>
    <x v="2"/>
  </r>
  <r>
    <n v="10167"/>
    <d v="2025-03-11T00:00:00"/>
    <n v="11699"/>
    <n v="13"/>
    <x v="36"/>
    <x v="1"/>
    <s v="Jihočeský"/>
    <x v="2"/>
  </r>
  <r>
    <n v="10168"/>
    <d v="2025-03-01T00:00:00"/>
    <n v="3584.25"/>
    <n v="29"/>
    <x v="9"/>
    <x v="1"/>
    <s v="Praha"/>
    <x v="2"/>
  </r>
  <r>
    <n v="10169"/>
    <d v="2025-03-25T00:00:00"/>
    <n v="1185.5"/>
    <n v="48"/>
    <x v="59"/>
    <x v="0"/>
    <s v="Středočeský"/>
    <x v="2"/>
  </r>
  <r>
    <n v="10170"/>
    <d v="2025-03-20T00:00:00"/>
    <n v="16189.75"/>
    <n v="27"/>
    <x v="20"/>
    <x v="1"/>
    <s v="Plzeňský"/>
    <x v="2"/>
  </r>
  <r>
    <n v="10171"/>
    <d v="2025-03-26T00:00:00"/>
    <n v="1018.5"/>
    <n v="35"/>
    <x v="26"/>
    <x v="0"/>
    <s v="Praha"/>
    <x v="2"/>
  </r>
  <r>
    <n v="10172"/>
    <d v="2025-03-07T00:00:00"/>
    <n v="10982"/>
    <n v="28"/>
    <x v="64"/>
    <x v="1"/>
    <s v="Jihočeský"/>
    <x v="2"/>
  </r>
  <r>
    <n v="10173"/>
    <d v="2025-03-25T00:00:00"/>
    <n v="562"/>
    <n v="53"/>
    <x v="67"/>
    <x v="0"/>
    <s v="Středočeský"/>
    <x v="2"/>
  </r>
  <r>
    <n v="10174"/>
    <d v="2025-03-15T00:00:00"/>
    <n v="1077.5"/>
    <n v="75"/>
    <x v="70"/>
    <x v="0"/>
    <s v="Plzeňský"/>
    <x v="2"/>
  </r>
  <r>
    <n v="10175"/>
    <d v="2025-03-05T00:00:00"/>
    <n v="1717.25"/>
    <n v="55"/>
    <x v="48"/>
    <x v="0"/>
    <s v="Plzeňský"/>
    <x v="2"/>
  </r>
  <r>
    <n v="10176"/>
    <d v="2025-03-08T00:00:00"/>
    <n v="8734.5"/>
    <n v="14"/>
    <x v="28"/>
    <x v="1"/>
    <s v="Praha"/>
    <x v="2"/>
  </r>
  <r>
    <n v="10177"/>
    <d v="2025-03-08T00:00:00"/>
    <n v="7465"/>
    <n v="16"/>
    <x v="7"/>
    <x v="1"/>
    <s v="Praha"/>
    <x v="2"/>
  </r>
  <r>
    <n v="10178"/>
    <d v="2025-03-23T00:00:00"/>
    <n v="386"/>
    <n v="61"/>
    <x v="19"/>
    <x v="0"/>
    <s v="Středočeský"/>
    <x v="2"/>
  </r>
  <r>
    <n v="10179"/>
    <d v="2025-03-26T00:00:00"/>
    <n v="3197.5"/>
    <n v="21"/>
    <x v="23"/>
    <x v="1"/>
    <s v="Středočeský"/>
    <x v="2"/>
  </r>
  <r>
    <n v="10180"/>
    <d v="2025-03-30T00:00:00"/>
    <n v="10098.75"/>
    <n v="14"/>
    <x v="28"/>
    <x v="1"/>
    <s v="Praha"/>
    <x v="2"/>
  </r>
  <r>
    <n v="10181"/>
    <d v="2025-03-28T00:00:00"/>
    <n v="3211.5"/>
    <n v="20"/>
    <x v="16"/>
    <x v="1"/>
    <s v="Praha"/>
    <x v="2"/>
  </r>
  <r>
    <n v="10182"/>
    <d v="2025-03-31T00:00:00"/>
    <n v="10493"/>
    <n v="12"/>
    <x v="60"/>
    <x v="1"/>
    <s v="Středočeský"/>
    <x v="2"/>
  </r>
  <r>
    <n v="10183"/>
    <d v="2025-03-19T00:00:00"/>
    <n v="1582"/>
    <n v="66"/>
    <x v="44"/>
    <x v="0"/>
    <s v="Plzeňský"/>
    <x v="2"/>
  </r>
  <r>
    <n v="10184"/>
    <d v="2025-03-17T00:00:00"/>
    <n v="3978.25"/>
    <n v="19"/>
    <x v="24"/>
    <x v="1"/>
    <s v="Praha"/>
    <x v="2"/>
  </r>
  <r>
    <n v="10185"/>
    <d v="2025-03-05T00:00:00"/>
    <n v="2421"/>
    <n v="74"/>
    <x v="18"/>
    <x v="0"/>
    <s v="Středočeský"/>
    <x v="2"/>
  </r>
  <r>
    <n v="10186"/>
    <d v="2025-03-29T00:00:00"/>
    <n v="8065"/>
    <n v="11"/>
    <x v="17"/>
    <x v="1"/>
    <s v="Plzeňský"/>
    <x v="2"/>
  </r>
  <r>
    <n v="10187"/>
    <d v="2025-03-21T00:00:00"/>
    <n v="2742"/>
    <n v="59"/>
    <x v="71"/>
    <x v="0"/>
    <s v="Středočeský"/>
    <x v="2"/>
  </r>
  <r>
    <n v="10188"/>
    <d v="2025-03-10T00:00:00"/>
    <n v="1718"/>
    <n v="39"/>
    <x v="11"/>
    <x v="0"/>
    <s v="Plzeňský"/>
    <x v="2"/>
  </r>
  <r>
    <n v="10189"/>
    <d v="2025-03-11T00:00:00"/>
    <n v="7864"/>
    <n v="26"/>
    <x v="33"/>
    <x v="1"/>
    <s v="Jihočeský"/>
    <x v="2"/>
  </r>
  <r>
    <n v="10190"/>
    <d v="2025-03-28T00:00:00"/>
    <n v="9958.25"/>
    <n v="28"/>
    <x v="64"/>
    <x v="1"/>
    <s v="Jihočeský"/>
    <x v="2"/>
  </r>
  <r>
    <n v="10191"/>
    <d v="2025-03-12T00:00:00"/>
    <n v="2059.25"/>
    <n v="39"/>
    <x v="11"/>
    <x v="0"/>
    <s v="Plzeňský"/>
    <x v="2"/>
  </r>
  <r>
    <n v="10192"/>
    <d v="2025-03-17T00:00:00"/>
    <n v="741.5"/>
    <n v="58"/>
    <x v="69"/>
    <x v="0"/>
    <s v="Praha"/>
    <x v="2"/>
  </r>
  <r>
    <n v="10193"/>
    <d v="2025-03-26T00:00:00"/>
    <n v="1090.25"/>
    <n v="74"/>
    <x v="18"/>
    <x v="0"/>
    <s v="Středočeský"/>
    <x v="2"/>
  </r>
  <r>
    <n v="10194"/>
    <d v="2025-03-12T00:00:00"/>
    <n v="644.5"/>
    <n v="67"/>
    <x v="21"/>
    <x v="0"/>
    <s v="Praha"/>
    <x v="2"/>
  </r>
  <r>
    <n v="10195"/>
    <d v="2025-03-21T00:00:00"/>
    <n v="1181.75"/>
    <n v="71"/>
    <x v="25"/>
    <x v="0"/>
    <s v="Středočeský"/>
    <x v="2"/>
  </r>
  <r>
    <n v="10196"/>
    <d v="2025-03-03T00:00:00"/>
    <n v="812.25"/>
    <n v="35"/>
    <x v="26"/>
    <x v="0"/>
    <s v="Praha"/>
    <x v="2"/>
  </r>
  <r>
    <n v="10197"/>
    <d v="2025-03-11T00:00:00"/>
    <n v="14899.75"/>
    <n v="16"/>
    <x v="7"/>
    <x v="1"/>
    <s v="Praha"/>
    <x v="2"/>
  </r>
  <r>
    <n v="10198"/>
    <d v="2025-03-30T00:00:00"/>
    <n v="17322"/>
    <n v="27"/>
    <x v="20"/>
    <x v="1"/>
    <s v="Plzeňský"/>
    <x v="2"/>
  </r>
  <r>
    <n v="10199"/>
    <d v="2025-03-20T00:00:00"/>
    <n v="7350.5"/>
    <n v="29"/>
    <x v="9"/>
    <x v="1"/>
    <s v="Praha"/>
    <x v="2"/>
  </r>
  <r>
    <n v="10200"/>
    <d v="2025-03-06T00:00:00"/>
    <n v="385"/>
    <n v="63"/>
    <x v="41"/>
    <x v="0"/>
    <s v="Praha"/>
    <x v="2"/>
  </r>
  <r>
    <n v="10201"/>
    <d v="2025-03-05T00:00:00"/>
    <n v="9789.25"/>
    <n v="30"/>
    <x v="55"/>
    <x v="1"/>
    <s v="Praha"/>
    <x v="2"/>
  </r>
  <r>
    <n v="10202"/>
    <d v="2025-03-15T00:00:00"/>
    <n v="10970.5"/>
    <n v="30"/>
    <x v="55"/>
    <x v="1"/>
    <s v="Praha"/>
    <x v="2"/>
  </r>
  <r>
    <n v="10203"/>
    <d v="2025-04-21T00:00:00"/>
    <n v="2368.5"/>
    <n v="63"/>
    <x v="41"/>
    <x v="0"/>
    <s v="Praha"/>
    <x v="3"/>
  </r>
  <r>
    <n v="10204"/>
    <d v="2025-04-04T00:00:00"/>
    <n v="1146.75"/>
    <n v="45"/>
    <x v="47"/>
    <x v="0"/>
    <s v="Praha"/>
    <x v="3"/>
  </r>
  <r>
    <n v="10205"/>
    <d v="2025-04-30T00:00:00"/>
    <n v="11118.5"/>
    <n v="14"/>
    <x v="28"/>
    <x v="1"/>
    <s v="Praha"/>
    <x v="3"/>
  </r>
  <r>
    <n v="10206"/>
    <d v="2025-04-20T00:00:00"/>
    <n v="16004"/>
    <n v="4"/>
    <x v="12"/>
    <x v="1"/>
    <s v="Středočeský"/>
    <x v="3"/>
  </r>
  <r>
    <n v="10207"/>
    <d v="2025-04-26T00:00:00"/>
    <n v="16693"/>
    <n v="24"/>
    <x v="57"/>
    <x v="1"/>
    <s v="Jihočeský"/>
    <x v="3"/>
  </r>
  <r>
    <n v="10208"/>
    <d v="2025-04-19T00:00:00"/>
    <n v="7193"/>
    <n v="4"/>
    <x v="12"/>
    <x v="1"/>
    <s v="Středočeský"/>
    <x v="3"/>
  </r>
  <r>
    <n v="10209"/>
    <d v="2025-04-19T00:00:00"/>
    <n v="2502.75"/>
    <n v="71"/>
    <x v="25"/>
    <x v="0"/>
    <s v="Středočeský"/>
    <x v="3"/>
  </r>
  <r>
    <n v="10210"/>
    <d v="2025-04-17T00:00:00"/>
    <n v="2777.5"/>
    <n v="42"/>
    <x v="0"/>
    <x v="0"/>
    <s v="Praha"/>
    <x v="3"/>
  </r>
  <r>
    <n v="10211"/>
    <d v="2025-04-24T00:00:00"/>
    <n v="1145"/>
    <n v="54"/>
    <x v="39"/>
    <x v="0"/>
    <s v="Jihočeský"/>
    <x v="3"/>
  </r>
  <r>
    <n v="10212"/>
    <d v="2025-04-19T00:00:00"/>
    <n v="8135.5"/>
    <n v="29"/>
    <x v="9"/>
    <x v="1"/>
    <s v="Praha"/>
    <x v="3"/>
  </r>
  <r>
    <n v="10213"/>
    <d v="2025-04-11T00:00:00"/>
    <n v="1695.5"/>
    <n v="62"/>
    <x v="14"/>
    <x v="0"/>
    <s v="Praha"/>
    <x v="3"/>
  </r>
  <r>
    <n v="10214"/>
    <d v="2025-04-10T00:00:00"/>
    <n v="303.25"/>
    <n v="36"/>
    <x v="68"/>
    <x v="0"/>
    <s v="Středočeský"/>
    <x v="3"/>
  </r>
  <r>
    <n v="10215"/>
    <d v="2025-04-08T00:00:00"/>
    <n v="13728.5"/>
    <n v="28"/>
    <x v="64"/>
    <x v="1"/>
    <s v="Jihočeský"/>
    <x v="3"/>
  </r>
  <r>
    <n v="10216"/>
    <d v="2025-04-07T00:00:00"/>
    <n v="1125.25"/>
    <n v="48"/>
    <x v="59"/>
    <x v="0"/>
    <s v="Středočeský"/>
    <x v="3"/>
  </r>
  <r>
    <n v="10218"/>
    <d v="2025-04-16T00:00:00"/>
    <n v="342.25"/>
    <n v="74"/>
    <x v="18"/>
    <x v="0"/>
    <s v="Středočeský"/>
    <x v="3"/>
  </r>
  <r>
    <n v="10219"/>
    <d v="2025-04-08T00:00:00"/>
    <n v="2752.5"/>
    <n v="46"/>
    <x v="4"/>
    <x v="0"/>
    <s v="Středočeský"/>
    <x v="3"/>
  </r>
  <r>
    <n v="10220"/>
    <d v="2025-04-08T00:00:00"/>
    <n v="1591.25"/>
    <n v="38"/>
    <x v="38"/>
    <x v="0"/>
    <s v="Plzeňský"/>
    <x v="3"/>
  </r>
  <r>
    <n v="10221"/>
    <d v="2025-04-10T00:00:00"/>
    <n v="13158.5"/>
    <n v="4"/>
    <x v="12"/>
    <x v="1"/>
    <s v="Středočeský"/>
    <x v="3"/>
  </r>
  <r>
    <n v="10222"/>
    <d v="2025-04-16T00:00:00"/>
    <n v="17524.5"/>
    <n v="26"/>
    <x v="33"/>
    <x v="1"/>
    <s v="Jihočeský"/>
    <x v="3"/>
  </r>
  <r>
    <n v="10223"/>
    <d v="2025-04-18T00:00:00"/>
    <n v="6218"/>
    <n v="8"/>
    <x v="27"/>
    <x v="1"/>
    <s v="Středočeský"/>
    <x v="3"/>
  </r>
  <r>
    <n v="10224"/>
    <d v="2025-04-04T00:00:00"/>
    <n v="6674.5"/>
    <n v="16"/>
    <x v="7"/>
    <x v="1"/>
    <s v="Praha"/>
    <x v="3"/>
  </r>
  <r>
    <n v="10225"/>
    <d v="2025-04-18T00:00:00"/>
    <n v="649.75"/>
    <n v="31"/>
    <x v="62"/>
    <x v="0"/>
    <s v="Středočeský"/>
    <x v="3"/>
  </r>
  <r>
    <n v="10226"/>
    <d v="2025-04-04T00:00:00"/>
    <n v="16117"/>
    <n v="12"/>
    <x v="60"/>
    <x v="1"/>
    <s v="Středočeský"/>
    <x v="3"/>
  </r>
  <r>
    <n v="10227"/>
    <d v="2025-04-05T00:00:00"/>
    <n v="1527"/>
    <n v="38"/>
    <x v="38"/>
    <x v="0"/>
    <s v="Plzeňský"/>
    <x v="3"/>
  </r>
  <r>
    <n v="10228"/>
    <d v="2025-04-19T00:00:00"/>
    <n v="270"/>
    <n v="40"/>
    <x v="43"/>
    <x v="0"/>
    <s v="Plzeňský"/>
    <x v="3"/>
  </r>
  <r>
    <n v="10229"/>
    <d v="2025-04-08T00:00:00"/>
    <n v="2615.25"/>
    <n v="68"/>
    <x v="66"/>
    <x v="0"/>
    <s v="neznámý"/>
    <x v="3"/>
  </r>
  <r>
    <n v="10230"/>
    <d v="2025-04-18T00:00:00"/>
    <n v="2525"/>
    <n v="65"/>
    <x v="54"/>
    <x v="0"/>
    <s v="Plzeňský"/>
    <x v="3"/>
  </r>
  <r>
    <n v="10231"/>
    <d v="2025-04-01T00:00:00"/>
    <n v="15981.75"/>
    <n v="8"/>
    <x v="27"/>
    <x v="1"/>
    <s v="Středočeský"/>
    <x v="3"/>
  </r>
  <r>
    <n v="10232"/>
    <d v="2025-04-17T00:00:00"/>
    <n v="1928.25"/>
    <n v="50"/>
    <x v="8"/>
    <x v="0"/>
    <s v="Středočeský"/>
    <x v="3"/>
  </r>
  <r>
    <n v="10233"/>
    <d v="2025-04-02T00:00:00"/>
    <n v="3313.5"/>
    <n v="21"/>
    <x v="23"/>
    <x v="1"/>
    <s v="Středočeský"/>
    <x v="3"/>
  </r>
  <r>
    <n v="10234"/>
    <d v="2025-04-29T00:00:00"/>
    <n v="10414.75"/>
    <n v="30"/>
    <x v="55"/>
    <x v="1"/>
    <s v="Praha"/>
    <x v="3"/>
  </r>
  <r>
    <n v="10235"/>
    <d v="2025-04-08T00:00:00"/>
    <n v="2800.5"/>
    <n v="59"/>
    <x v="71"/>
    <x v="0"/>
    <s v="Středočeský"/>
    <x v="3"/>
  </r>
  <r>
    <n v="10236"/>
    <d v="2025-04-20T00:00:00"/>
    <n v="864.75"/>
    <n v="52"/>
    <x v="46"/>
    <x v="0"/>
    <s v="Jihočeský"/>
    <x v="3"/>
  </r>
  <r>
    <n v="10237"/>
    <d v="2025-04-02T00:00:00"/>
    <n v="16458.75"/>
    <n v="3"/>
    <x v="13"/>
    <x v="1"/>
    <s v="Jihočeský"/>
    <x v="3"/>
  </r>
  <r>
    <n v="10238"/>
    <d v="2025-04-19T00:00:00"/>
    <n v="1807.5"/>
    <n v="71"/>
    <x v="25"/>
    <x v="0"/>
    <s v="Středočeský"/>
    <x v="3"/>
  </r>
  <r>
    <n v="10239"/>
    <d v="2025-04-13T00:00:00"/>
    <n v="14751.5"/>
    <n v="3"/>
    <x v="13"/>
    <x v="1"/>
    <s v="Jihočeský"/>
    <x v="3"/>
  </r>
  <r>
    <n v="10240"/>
    <d v="2025-04-03T00:00:00"/>
    <n v="2526.25"/>
    <n v="75"/>
    <x v="70"/>
    <x v="0"/>
    <s v="Plzeňský"/>
    <x v="3"/>
  </r>
  <r>
    <n v="10241"/>
    <d v="2025-04-15T00:00:00"/>
    <n v="6600.25"/>
    <n v="27"/>
    <x v="20"/>
    <x v="1"/>
    <s v="Plzeňský"/>
    <x v="3"/>
  </r>
  <r>
    <n v="10242"/>
    <d v="2025-04-16T00:00:00"/>
    <n v="1639"/>
    <n v="45"/>
    <x v="47"/>
    <x v="0"/>
    <s v="Praha"/>
    <x v="3"/>
  </r>
  <r>
    <n v="10243"/>
    <d v="2025-04-13T00:00:00"/>
    <n v="13177"/>
    <n v="10"/>
    <x v="49"/>
    <x v="1"/>
    <s v="Plzeňský"/>
    <x v="3"/>
  </r>
  <r>
    <n v="10244"/>
    <d v="2025-04-09T00:00:00"/>
    <n v="658.25"/>
    <n v="36"/>
    <x v="68"/>
    <x v="0"/>
    <s v="Středočeský"/>
    <x v="3"/>
  </r>
  <r>
    <n v="10245"/>
    <d v="2025-04-02T00:00:00"/>
    <n v="7212.5"/>
    <n v="26"/>
    <x v="33"/>
    <x v="1"/>
    <s v="Jihočeský"/>
    <x v="3"/>
  </r>
  <r>
    <n v="10246"/>
    <d v="2025-04-27T00:00:00"/>
    <n v="575.5"/>
    <n v="46"/>
    <x v="4"/>
    <x v="0"/>
    <s v="Středočeský"/>
    <x v="3"/>
  </r>
  <r>
    <n v="10247"/>
    <d v="2025-04-09T00:00:00"/>
    <n v="2513.5"/>
    <n v="70"/>
    <x v="72"/>
    <x v="0"/>
    <s v="Jihočeský"/>
    <x v="3"/>
  </r>
  <r>
    <n v="10248"/>
    <d v="2025-04-18T00:00:00"/>
    <n v="2932.5"/>
    <n v="8"/>
    <x v="27"/>
    <x v="1"/>
    <s v="Středočeský"/>
    <x v="3"/>
  </r>
  <r>
    <n v="10249"/>
    <d v="2025-04-24T00:00:00"/>
    <n v="15554"/>
    <n v="10"/>
    <x v="49"/>
    <x v="1"/>
    <s v="Plzeňský"/>
    <x v="3"/>
  </r>
  <r>
    <n v="10250"/>
    <d v="2025-04-12T00:00:00"/>
    <n v="10075.75"/>
    <n v="15"/>
    <x v="37"/>
    <x v="1"/>
    <s v="Praha"/>
    <x v="3"/>
  </r>
  <r>
    <n v="10251"/>
    <d v="2025-04-27T00:00:00"/>
    <n v="417"/>
    <n v="41"/>
    <x v="65"/>
    <x v="0"/>
    <s v="Praha"/>
    <x v="3"/>
  </r>
  <r>
    <n v="10252"/>
    <d v="2025-04-09T00:00:00"/>
    <n v="1687.5"/>
    <n v="61"/>
    <x v="19"/>
    <x v="0"/>
    <s v="Středočeský"/>
    <x v="3"/>
  </r>
  <r>
    <n v="10253"/>
    <d v="2025-04-14T00:00:00"/>
    <n v="2489.25"/>
    <n v="16"/>
    <x v="7"/>
    <x v="1"/>
    <s v="Praha"/>
    <x v="3"/>
  </r>
  <r>
    <n v="10254"/>
    <d v="2025-04-17T00:00:00"/>
    <n v="1514"/>
    <n v="67"/>
    <x v="21"/>
    <x v="0"/>
    <s v="Praha"/>
    <x v="3"/>
  </r>
  <r>
    <n v="10255"/>
    <d v="2025-04-14T00:00:00"/>
    <n v="1464.5"/>
    <n v="72"/>
    <x v="61"/>
    <x v="0"/>
    <s v="Jihočeský"/>
    <x v="3"/>
  </r>
  <r>
    <n v="10256"/>
    <d v="2025-04-08T00:00:00"/>
    <n v="8352.5"/>
    <n v="10"/>
    <x v="49"/>
    <x v="1"/>
    <s v="Plzeňský"/>
    <x v="3"/>
  </r>
  <r>
    <n v="10257"/>
    <d v="2025-04-17T00:00:00"/>
    <n v="461.5"/>
    <n v="50"/>
    <x v="8"/>
    <x v="0"/>
    <s v="Středočeský"/>
    <x v="3"/>
  </r>
  <r>
    <n v="10258"/>
    <d v="2025-04-28T00:00:00"/>
    <n v="637.5"/>
    <n v="32"/>
    <x v="50"/>
    <x v="0"/>
    <s v="Jihočeský"/>
    <x v="3"/>
  </r>
  <r>
    <n v="10259"/>
    <d v="2025-04-06T00:00:00"/>
    <n v="7093"/>
    <n v="4"/>
    <x v="12"/>
    <x v="1"/>
    <s v="Středočeský"/>
    <x v="3"/>
  </r>
  <r>
    <n v="10260"/>
    <d v="2025-04-12T00:00:00"/>
    <n v="2080.5"/>
    <n v="44"/>
    <x v="63"/>
    <x v="0"/>
    <s v="neznámý"/>
    <x v="3"/>
  </r>
  <r>
    <n v="10261"/>
    <d v="2025-04-18T00:00:00"/>
    <n v="1392.25"/>
    <n v="61"/>
    <x v="19"/>
    <x v="0"/>
    <s v="Středočeský"/>
    <x v="3"/>
  </r>
  <r>
    <n v="10262"/>
    <d v="2025-04-24T00:00:00"/>
    <n v="1525.75"/>
    <n v="48"/>
    <x v="59"/>
    <x v="0"/>
    <s v="Středočeský"/>
    <x v="3"/>
  </r>
  <r>
    <n v="10263"/>
    <d v="2025-04-22T00:00:00"/>
    <n v="780"/>
    <n v="37"/>
    <x v="3"/>
    <x v="0"/>
    <s v="Jihočeský"/>
    <x v="3"/>
  </r>
  <r>
    <n v="10264"/>
    <d v="2025-04-04T00:00:00"/>
    <n v="1460.75"/>
    <n v="46"/>
    <x v="4"/>
    <x v="0"/>
    <s v="Středočeský"/>
    <x v="3"/>
  </r>
  <r>
    <n v="10265"/>
    <d v="2025-04-24T00:00:00"/>
    <n v="13385"/>
    <n v="2"/>
    <x v="32"/>
    <x v="1"/>
    <s v="Praha"/>
    <x v="3"/>
  </r>
  <r>
    <n v="10266"/>
    <d v="2025-04-20T00:00:00"/>
    <n v="322.25"/>
    <n v="33"/>
    <x v="6"/>
    <x v="0"/>
    <s v="Praha"/>
    <x v="3"/>
  </r>
  <r>
    <n v="10267"/>
    <d v="2025-04-22T00:00:00"/>
    <n v="7025"/>
    <n v="5"/>
    <x v="5"/>
    <x v="1"/>
    <s v="Plzeňský"/>
    <x v="3"/>
  </r>
  <r>
    <n v="10268"/>
    <d v="2025-04-12T00:00:00"/>
    <n v="340.5"/>
    <n v="64"/>
    <x v="31"/>
    <x v="0"/>
    <s v="Jihočeský"/>
    <x v="3"/>
  </r>
  <r>
    <n v="10269"/>
    <d v="2025-04-23T00:00:00"/>
    <n v="2473.25"/>
    <n v="21"/>
    <x v="23"/>
    <x v="1"/>
    <s v="Středočeský"/>
    <x v="3"/>
  </r>
  <r>
    <n v="10270"/>
    <d v="2025-04-20T00:00:00"/>
    <n v="1338.25"/>
    <n v="36"/>
    <x v="68"/>
    <x v="0"/>
    <s v="Středočeský"/>
    <x v="3"/>
  </r>
  <r>
    <n v="10271"/>
    <d v="2025-04-10T00:00:00"/>
    <n v="5558.5"/>
    <n v="17"/>
    <x v="58"/>
    <x v="1"/>
    <s v="Středočeský"/>
    <x v="3"/>
  </r>
  <r>
    <n v="10272"/>
    <d v="2025-04-21T00:00:00"/>
    <n v="12057.25"/>
    <n v="20"/>
    <x v="16"/>
    <x v="1"/>
    <s v="Praha"/>
    <x v="3"/>
  </r>
  <r>
    <n v="10273"/>
    <d v="2025-04-05T00:00:00"/>
    <n v="2630"/>
    <n v="58"/>
    <x v="69"/>
    <x v="0"/>
    <s v="Praha"/>
    <x v="3"/>
  </r>
  <r>
    <n v="10274"/>
    <d v="2025-04-15T00:00:00"/>
    <n v="1477.75"/>
    <n v="51"/>
    <x v="22"/>
    <x v="0"/>
    <s v="Plzeňský"/>
    <x v="3"/>
  </r>
  <r>
    <n v="10275"/>
    <d v="2025-04-10T00:00:00"/>
    <n v="17155.75"/>
    <n v="2"/>
    <x v="32"/>
    <x v="1"/>
    <s v="Praha"/>
    <x v="3"/>
  </r>
  <r>
    <n v="10276"/>
    <d v="2025-04-06T00:00:00"/>
    <n v="1497.5"/>
    <n v="71"/>
    <x v="25"/>
    <x v="0"/>
    <s v="Středočeský"/>
    <x v="3"/>
  </r>
  <r>
    <n v="10277"/>
    <d v="2025-04-24T00:00:00"/>
    <n v="12243.25"/>
    <n v="28"/>
    <x v="64"/>
    <x v="1"/>
    <s v="Jihočeský"/>
    <x v="3"/>
  </r>
  <r>
    <n v="10278"/>
    <d v="2025-04-17T00:00:00"/>
    <n v="11129.5"/>
    <n v="9"/>
    <x v="42"/>
    <x v="1"/>
    <s v="neznámý"/>
    <x v="3"/>
  </r>
  <r>
    <n v="10279"/>
    <d v="2025-04-29T00:00:00"/>
    <n v="1133.5"/>
    <n v="55"/>
    <x v="48"/>
    <x v="0"/>
    <s v="Plzeňský"/>
    <x v="3"/>
  </r>
  <r>
    <n v="10280"/>
    <d v="2025-04-20T00:00:00"/>
    <n v="1462"/>
    <n v="51"/>
    <x v="22"/>
    <x v="0"/>
    <s v="Plzeňský"/>
    <x v="3"/>
  </r>
  <r>
    <n v="10281"/>
    <d v="2025-05-25T00:00:00"/>
    <n v="1223.25"/>
    <n v="47"/>
    <x v="53"/>
    <x v="0"/>
    <s v="Plzeňský"/>
    <x v="4"/>
  </r>
  <r>
    <n v="10282"/>
    <d v="2025-05-10T00:00:00"/>
    <n v="1074.5"/>
    <n v="71"/>
    <x v="25"/>
    <x v="0"/>
    <s v="Středočeský"/>
    <x v="4"/>
  </r>
  <r>
    <n v="10283"/>
    <d v="2025-05-23T00:00:00"/>
    <n v="5269.75"/>
    <n v="1"/>
    <x v="40"/>
    <x v="1"/>
    <s v="Plzeňský"/>
    <x v="4"/>
  </r>
  <r>
    <n v="10284"/>
    <d v="2025-05-24T00:00:00"/>
    <n v="2415.25"/>
    <n v="70"/>
    <x v="72"/>
    <x v="0"/>
    <s v="Jihočeský"/>
    <x v="4"/>
  </r>
  <r>
    <n v="10285"/>
    <d v="2025-05-06T00:00:00"/>
    <n v="370.25"/>
    <n v="46"/>
    <x v="4"/>
    <x v="0"/>
    <s v="Středočeský"/>
    <x v="4"/>
  </r>
  <r>
    <n v="10286"/>
    <d v="2025-05-17T00:00:00"/>
    <n v="2774.25"/>
    <n v="37"/>
    <x v="3"/>
    <x v="0"/>
    <s v="Jihočeský"/>
    <x v="4"/>
  </r>
  <r>
    <n v="10287"/>
    <d v="2025-05-15T00:00:00"/>
    <n v="1860"/>
    <n v="24"/>
    <x v="57"/>
    <x v="1"/>
    <s v="Jihočeský"/>
    <x v="4"/>
  </r>
  <r>
    <n v="10288"/>
    <d v="2025-05-15T00:00:00"/>
    <n v="15651"/>
    <n v="20"/>
    <x v="16"/>
    <x v="1"/>
    <s v="Praha"/>
    <x v="4"/>
  </r>
  <r>
    <n v="10289"/>
    <d v="2025-05-31T00:00:00"/>
    <n v="1406.75"/>
    <n v="36"/>
    <x v="68"/>
    <x v="0"/>
    <s v="Středočeský"/>
    <x v="4"/>
  </r>
  <r>
    <n v="10290"/>
    <d v="2025-05-04T00:00:00"/>
    <n v="511.25"/>
    <n v="51"/>
    <x v="22"/>
    <x v="0"/>
    <s v="Plzeňský"/>
    <x v="4"/>
  </r>
  <r>
    <n v="10291"/>
    <d v="2025-05-14T00:00:00"/>
    <n v="744"/>
    <n v="50"/>
    <x v="8"/>
    <x v="0"/>
    <s v="Středočeský"/>
    <x v="4"/>
  </r>
  <r>
    <n v="10292"/>
    <d v="2025-05-19T00:00:00"/>
    <n v="2059"/>
    <n v="67"/>
    <x v="21"/>
    <x v="0"/>
    <s v="Praha"/>
    <x v="4"/>
  </r>
  <r>
    <n v="10293"/>
    <d v="2025-05-09T00:00:00"/>
    <n v="2517.75"/>
    <n v="66"/>
    <x v="44"/>
    <x v="0"/>
    <s v="Plzeňský"/>
    <x v="4"/>
  </r>
  <r>
    <n v="10294"/>
    <d v="2025-05-30T00:00:00"/>
    <n v="1646.75"/>
    <n v="59"/>
    <x v="71"/>
    <x v="0"/>
    <s v="Středočeský"/>
    <x v="4"/>
  </r>
  <r>
    <n v="10295"/>
    <d v="2025-05-07T00:00:00"/>
    <n v="1938.25"/>
    <n v="15"/>
    <x v="37"/>
    <x v="1"/>
    <s v="Praha"/>
    <x v="4"/>
  </r>
  <r>
    <n v="10296"/>
    <d v="2025-05-04T00:00:00"/>
    <n v="8504.75"/>
    <n v="22"/>
    <x v="45"/>
    <x v="1"/>
    <s v="Praha"/>
    <x v="4"/>
  </r>
  <r>
    <n v="10297"/>
    <d v="2025-05-31T00:00:00"/>
    <n v="266.5"/>
    <n v="75"/>
    <x v="70"/>
    <x v="0"/>
    <s v="Plzeňský"/>
    <x v="4"/>
  </r>
  <r>
    <n v="10298"/>
    <d v="2025-05-17T00:00:00"/>
    <n v="10678"/>
    <n v="23"/>
    <x v="73"/>
    <x v="1"/>
    <s v="Praha"/>
    <x v="4"/>
  </r>
  <r>
    <n v="10299"/>
    <d v="2025-05-02T00:00:00"/>
    <n v="9117.25"/>
    <n v="8"/>
    <x v="27"/>
    <x v="1"/>
    <s v="Středočeský"/>
    <x v="4"/>
  </r>
  <r>
    <n v="10300"/>
    <d v="2025-05-22T00:00:00"/>
    <n v="1538.5"/>
    <n v="60"/>
    <x v="74"/>
    <x v="0"/>
    <s v="Praha"/>
    <x v="4"/>
  </r>
  <r>
    <n v="10301"/>
    <d v="2025-05-11T00:00:00"/>
    <n v="8344.5"/>
    <n v="18"/>
    <x v="56"/>
    <x v="1"/>
    <s v="Praha"/>
    <x v="4"/>
  </r>
  <r>
    <n v="10302"/>
    <d v="2025-05-04T00:00:00"/>
    <n v="445"/>
    <n v="76"/>
    <x v="2"/>
    <x v="0"/>
    <s v="Jihočeský"/>
    <x v="4"/>
  </r>
  <r>
    <n v="10303"/>
    <d v="2025-05-05T00:00:00"/>
    <n v="13645.5"/>
    <n v="3"/>
    <x v="13"/>
    <x v="1"/>
    <s v="Jihočeský"/>
    <x v="4"/>
  </r>
  <r>
    <n v="10304"/>
    <d v="2025-05-03T00:00:00"/>
    <n v="1322.75"/>
    <n v="45"/>
    <x v="47"/>
    <x v="0"/>
    <s v="Praha"/>
    <x v="4"/>
  </r>
  <r>
    <n v="10305"/>
    <d v="2025-05-03T00:00:00"/>
    <n v="12397.25"/>
    <n v="21"/>
    <x v="23"/>
    <x v="1"/>
    <s v="Středočeský"/>
    <x v="4"/>
  </r>
  <r>
    <n v="10306"/>
    <d v="2025-05-14T00:00:00"/>
    <n v="17436.5"/>
    <n v="1"/>
    <x v="40"/>
    <x v="1"/>
    <s v="Plzeňský"/>
    <x v="4"/>
  </r>
  <r>
    <n v="10307"/>
    <d v="2025-05-21T00:00:00"/>
    <n v="566.5"/>
    <n v="68"/>
    <x v="66"/>
    <x v="0"/>
    <s v="neznámý"/>
    <x v="4"/>
  </r>
  <r>
    <n v="10308"/>
    <d v="2025-05-27T00:00:00"/>
    <n v="616.75"/>
    <n v="66"/>
    <x v="44"/>
    <x v="0"/>
    <s v="Plzeňský"/>
    <x v="4"/>
  </r>
  <r>
    <n v="10309"/>
    <d v="2025-05-15T00:00:00"/>
    <n v="1633"/>
    <n v="66"/>
    <x v="44"/>
    <x v="0"/>
    <s v="Plzeňský"/>
    <x v="4"/>
  </r>
  <r>
    <n v="10310"/>
    <d v="2025-05-03T00:00:00"/>
    <n v="1409.5"/>
    <n v="64"/>
    <x v="31"/>
    <x v="0"/>
    <s v="Jihočeský"/>
    <x v="4"/>
  </r>
  <r>
    <n v="10311"/>
    <d v="2025-05-16T00:00:00"/>
    <n v="419.25"/>
    <n v="56"/>
    <x v="29"/>
    <x v="0"/>
    <s v="Praha"/>
    <x v="4"/>
  </r>
  <r>
    <n v="10312"/>
    <d v="2025-05-19T00:00:00"/>
    <n v="2933.5"/>
    <n v="2"/>
    <x v="32"/>
    <x v="1"/>
    <s v="Praha"/>
    <x v="4"/>
  </r>
  <r>
    <n v="10313"/>
    <d v="2025-05-03T00:00:00"/>
    <n v="725.75"/>
    <n v="55"/>
    <x v="48"/>
    <x v="0"/>
    <s v="Plzeňský"/>
    <x v="4"/>
  </r>
  <r>
    <n v="10314"/>
    <d v="2025-05-11T00:00:00"/>
    <n v="17889.5"/>
    <n v="13"/>
    <x v="36"/>
    <x v="1"/>
    <s v="Jihočeský"/>
    <x v="4"/>
  </r>
  <r>
    <n v="10315"/>
    <d v="2025-05-07T00:00:00"/>
    <n v="8365.5"/>
    <n v="23"/>
    <x v="73"/>
    <x v="1"/>
    <s v="Praha"/>
    <x v="4"/>
  </r>
  <r>
    <n v="10316"/>
    <d v="2025-05-12T00:00:00"/>
    <n v="475.75"/>
    <n v="74"/>
    <x v="18"/>
    <x v="0"/>
    <s v="Středočeský"/>
    <x v="4"/>
  </r>
  <r>
    <n v="10317"/>
    <d v="2025-05-21T00:00:00"/>
    <n v="3576.5"/>
    <n v="24"/>
    <x v="57"/>
    <x v="1"/>
    <s v="Jihočeský"/>
    <x v="4"/>
  </r>
  <r>
    <n v="10318"/>
    <d v="2025-05-01T00:00:00"/>
    <n v="3107.5"/>
    <n v="14"/>
    <x v="28"/>
    <x v="1"/>
    <s v="Praha"/>
    <x v="4"/>
  </r>
  <r>
    <n v="10319"/>
    <d v="2025-05-29T00:00:00"/>
    <n v="13266.25"/>
    <n v="28"/>
    <x v="64"/>
    <x v="1"/>
    <s v="Jihočeský"/>
    <x v="4"/>
  </r>
  <r>
    <n v="10320"/>
    <d v="2025-05-12T00:00:00"/>
    <n v="1995.5"/>
    <n v="55"/>
    <x v="48"/>
    <x v="0"/>
    <s v="Plzeňský"/>
    <x v="4"/>
  </r>
  <r>
    <n v="10321"/>
    <d v="2025-05-20T00:00:00"/>
    <n v="2743.25"/>
    <n v="51"/>
    <x v="22"/>
    <x v="0"/>
    <s v="Plzeňský"/>
    <x v="4"/>
  </r>
  <r>
    <n v="10322"/>
    <d v="2025-05-01T00:00:00"/>
    <n v="13970"/>
    <n v="17"/>
    <x v="58"/>
    <x v="1"/>
    <s v="Středočeský"/>
    <x v="4"/>
  </r>
  <r>
    <n v="10323"/>
    <d v="2025-05-09T00:00:00"/>
    <n v="1124.25"/>
    <n v="54"/>
    <x v="39"/>
    <x v="0"/>
    <s v="Jihočeský"/>
    <x v="4"/>
  </r>
  <r>
    <n v="10324"/>
    <d v="2025-05-16T00:00:00"/>
    <n v="1299.5"/>
    <n v="68"/>
    <x v="66"/>
    <x v="0"/>
    <s v="neznámý"/>
    <x v="4"/>
  </r>
  <r>
    <n v="10325"/>
    <d v="2025-05-14T00:00:00"/>
    <n v="12360"/>
    <n v="14"/>
    <x v="28"/>
    <x v="1"/>
    <s v="Praha"/>
    <x v="4"/>
  </r>
  <r>
    <n v="10326"/>
    <d v="2025-05-23T00:00:00"/>
    <n v="14804.75"/>
    <n v="30"/>
    <x v="55"/>
    <x v="1"/>
    <s v="Praha"/>
    <x v="4"/>
  </r>
  <r>
    <n v="10327"/>
    <d v="2025-05-20T00:00:00"/>
    <n v="6705.25"/>
    <n v="10"/>
    <x v="49"/>
    <x v="1"/>
    <s v="Plzeňský"/>
    <x v="4"/>
  </r>
  <r>
    <n v="10328"/>
    <d v="2025-05-01T00:00:00"/>
    <n v="4929.5"/>
    <n v="10"/>
    <x v="49"/>
    <x v="1"/>
    <s v="Plzeňský"/>
    <x v="4"/>
  </r>
  <r>
    <n v="10329"/>
    <d v="2025-05-17T00:00:00"/>
    <n v="17313.5"/>
    <n v="9"/>
    <x v="42"/>
    <x v="1"/>
    <s v="neznámý"/>
    <x v="4"/>
  </r>
  <r>
    <n v="10330"/>
    <d v="2025-05-17T00:00:00"/>
    <n v="7556.25"/>
    <n v="16"/>
    <x v="7"/>
    <x v="1"/>
    <s v="Praha"/>
    <x v="4"/>
  </r>
  <r>
    <n v="10331"/>
    <d v="2025-05-13T00:00:00"/>
    <n v="2640.75"/>
    <n v="59"/>
    <x v="71"/>
    <x v="0"/>
    <s v="Středočeský"/>
    <x v="4"/>
  </r>
  <r>
    <n v="10332"/>
    <d v="2025-05-16T00:00:00"/>
    <n v="6947.25"/>
    <n v="14"/>
    <x v="28"/>
    <x v="1"/>
    <s v="Praha"/>
    <x v="4"/>
  </r>
  <r>
    <n v="10333"/>
    <d v="2025-05-24T00:00:00"/>
    <n v="10571"/>
    <n v="24"/>
    <x v="57"/>
    <x v="1"/>
    <s v="Jihočeský"/>
    <x v="4"/>
  </r>
  <r>
    <n v="10334"/>
    <d v="2025-05-21T00:00:00"/>
    <n v="2196.25"/>
    <n v="72"/>
    <x v="61"/>
    <x v="0"/>
    <s v="Jihočeský"/>
    <x v="4"/>
  </r>
  <r>
    <n v="10335"/>
    <d v="2025-05-19T00:00:00"/>
    <n v="7276.75"/>
    <n v="20"/>
    <x v="16"/>
    <x v="1"/>
    <s v="Praha"/>
    <x v="4"/>
  </r>
  <r>
    <n v="10336"/>
    <d v="2025-05-18T00:00:00"/>
    <n v="2730.5"/>
    <n v="53"/>
    <x v="67"/>
    <x v="0"/>
    <s v="Středočeský"/>
    <x v="4"/>
  </r>
  <r>
    <n v="10337"/>
    <d v="2025-05-20T00:00:00"/>
    <n v="8123"/>
    <n v="27"/>
    <x v="20"/>
    <x v="1"/>
    <s v="Plzeňský"/>
    <x v="4"/>
  </r>
  <r>
    <n v="10338"/>
    <d v="2025-05-06T00:00:00"/>
    <n v="1118.75"/>
    <n v="66"/>
    <x v="44"/>
    <x v="0"/>
    <s v="Plzeňský"/>
    <x v="4"/>
  </r>
  <r>
    <n v="10339"/>
    <d v="2025-05-18T00:00:00"/>
    <n v="1951"/>
    <n v="62"/>
    <x v="14"/>
    <x v="0"/>
    <s v="Praha"/>
    <x v="4"/>
  </r>
  <r>
    <n v="10340"/>
    <d v="2025-05-12T00:00:00"/>
    <n v="877.5"/>
    <n v="60"/>
    <x v="74"/>
    <x v="0"/>
    <s v="Praha"/>
    <x v="4"/>
  </r>
  <r>
    <n v="10341"/>
    <d v="2025-05-19T00:00:00"/>
    <n v="1560.5"/>
    <n v="38"/>
    <x v="38"/>
    <x v="0"/>
    <s v="Plzeňský"/>
    <x v="4"/>
  </r>
  <r>
    <n v="10342"/>
    <d v="2025-05-15T00:00:00"/>
    <n v="16322.75"/>
    <n v="10"/>
    <x v="49"/>
    <x v="1"/>
    <s v="Plzeňský"/>
    <x v="4"/>
  </r>
  <r>
    <n v="10343"/>
    <d v="2025-05-02T00:00:00"/>
    <n v="802.25"/>
    <n v="51"/>
    <x v="22"/>
    <x v="0"/>
    <s v="Plzeňský"/>
    <x v="4"/>
  </r>
  <r>
    <n v="10344"/>
    <d v="2025-05-27T00:00:00"/>
    <n v="15797"/>
    <n v="15"/>
    <x v="37"/>
    <x v="1"/>
    <s v="Praha"/>
    <x v="4"/>
  </r>
  <r>
    <n v="10345"/>
    <d v="2025-05-01T00:00:00"/>
    <n v="1272.75"/>
    <n v="40"/>
    <x v="43"/>
    <x v="0"/>
    <s v="Plzeňský"/>
    <x v="4"/>
  </r>
  <r>
    <n v="10346"/>
    <d v="2025-05-29T00:00:00"/>
    <n v="532.25"/>
    <n v="42"/>
    <x v="0"/>
    <x v="0"/>
    <s v="Praha"/>
    <x v="4"/>
  </r>
  <r>
    <n v="10347"/>
    <d v="2025-05-26T00:00:00"/>
    <n v="888.75"/>
    <n v="67"/>
    <x v="21"/>
    <x v="0"/>
    <s v="Praha"/>
    <x v="4"/>
  </r>
  <r>
    <n v="10348"/>
    <d v="2025-05-06T00:00:00"/>
    <n v="17629.5"/>
    <n v="24"/>
    <x v="57"/>
    <x v="1"/>
    <s v="Jihočeský"/>
    <x v="4"/>
  </r>
  <r>
    <n v="10349"/>
    <d v="2025-05-26T00:00:00"/>
    <n v="6226.5"/>
    <n v="23"/>
    <x v="73"/>
    <x v="1"/>
    <s v="Praha"/>
    <x v="4"/>
  </r>
  <r>
    <n v="10350"/>
    <d v="2025-05-30T00:00:00"/>
    <n v="2172.5"/>
    <n v="38"/>
    <x v="38"/>
    <x v="0"/>
    <s v="Plzeňský"/>
    <x v="4"/>
  </r>
  <r>
    <n v="10351"/>
    <d v="2025-05-27T00:00:00"/>
    <n v="5820"/>
    <n v="16"/>
    <x v="7"/>
    <x v="1"/>
    <s v="Praha"/>
    <x v="4"/>
  </r>
  <r>
    <n v="10352"/>
    <d v="2025-05-16T00:00:00"/>
    <n v="15509.5"/>
    <n v="18"/>
    <x v="56"/>
    <x v="1"/>
    <s v="Praha"/>
    <x v="4"/>
  </r>
  <r>
    <n v="10353"/>
    <d v="2025-05-08T00:00:00"/>
    <n v="2485"/>
    <n v="32"/>
    <x v="50"/>
    <x v="0"/>
    <s v="Jihočeský"/>
    <x v="4"/>
  </r>
  <r>
    <n v="10354"/>
    <d v="2025-05-20T00:00:00"/>
    <n v="450.75"/>
    <n v="74"/>
    <x v="18"/>
    <x v="0"/>
    <s v="Středočeský"/>
    <x v="4"/>
  </r>
  <r>
    <n v="10355"/>
    <d v="2025-05-04T00:00:00"/>
    <n v="757.25"/>
    <n v="65"/>
    <x v="54"/>
    <x v="0"/>
    <s v="Plzeňský"/>
    <x v="4"/>
  </r>
  <r>
    <n v="10356"/>
    <d v="2025-05-05T00:00:00"/>
    <n v="1972"/>
    <n v="49"/>
    <x v="15"/>
    <x v="0"/>
    <s v="Plzeňský"/>
    <x v="4"/>
  </r>
  <r>
    <n v="10357"/>
    <d v="2025-05-08T00:00:00"/>
    <n v="10746.75"/>
    <n v="4"/>
    <x v="12"/>
    <x v="1"/>
    <s v="Středočeský"/>
    <x v="4"/>
  </r>
  <r>
    <n v="10358"/>
    <d v="2025-05-30T00:00:00"/>
    <n v="1424.5"/>
    <n v="56"/>
    <x v="29"/>
    <x v="0"/>
    <s v="Praha"/>
    <x v="4"/>
  </r>
  <r>
    <n v="10359"/>
    <d v="2025-05-17T00:00:00"/>
    <n v="4637"/>
    <n v="24"/>
    <x v="57"/>
    <x v="1"/>
    <s v="Jihočeský"/>
    <x v="4"/>
  </r>
  <r>
    <n v="10360"/>
    <d v="2025-05-29T00:00:00"/>
    <n v="13379.5"/>
    <n v="8"/>
    <x v="27"/>
    <x v="1"/>
    <s v="Středočeský"/>
    <x v="4"/>
  </r>
  <r>
    <n v="10361"/>
    <d v="2025-06-08T00:00:00"/>
    <n v="17588.5"/>
    <n v="23"/>
    <x v="73"/>
    <x v="1"/>
    <s v="Praha"/>
    <x v="5"/>
  </r>
  <r>
    <n v="10362"/>
    <d v="2025-06-25T00:00:00"/>
    <n v="2261.75"/>
    <n v="38"/>
    <x v="38"/>
    <x v="0"/>
    <s v="Plzeňský"/>
    <x v="5"/>
  </r>
  <r>
    <n v="10363"/>
    <d v="2025-06-13T00:00:00"/>
    <n v="2387.75"/>
    <n v="72"/>
    <x v="61"/>
    <x v="0"/>
    <s v="Jihočeský"/>
    <x v="5"/>
  </r>
  <r>
    <n v="10364"/>
    <d v="2025-06-13T00:00:00"/>
    <n v="1033.75"/>
    <n v="36"/>
    <x v="68"/>
    <x v="0"/>
    <s v="Středočeský"/>
    <x v="5"/>
  </r>
  <r>
    <n v="10365"/>
    <d v="2025-06-26T00:00:00"/>
    <n v="9463.75"/>
    <n v="17"/>
    <x v="58"/>
    <x v="1"/>
    <s v="Středočeský"/>
    <x v="5"/>
  </r>
  <r>
    <n v="10366"/>
    <d v="2025-06-03T00:00:00"/>
    <n v="2340.75"/>
    <n v="74"/>
    <x v="18"/>
    <x v="0"/>
    <s v="Středočeský"/>
    <x v="5"/>
  </r>
  <r>
    <n v="10367"/>
    <d v="2025-06-19T00:00:00"/>
    <n v="514.5"/>
    <n v="48"/>
    <x v="59"/>
    <x v="0"/>
    <s v="Středočeský"/>
    <x v="5"/>
  </r>
  <r>
    <n v="10368"/>
    <d v="2025-06-28T00:00:00"/>
    <n v="1597"/>
    <n v="32"/>
    <x v="50"/>
    <x v="0"/>
    <s v="Jihočeský"/>
    <x v="5"/>
  </r>
  <r>
    <n v="10369"/>
    <d v="2025-06-04T00:00:00"/>
    <n v="16610.5"/>
    <n v="21"/>
    <x v="23"/>
    <x v="1"/>
    <s v="Středočeský"/>
    <x v="5"/>
  </r>
  <r>
    <n v="10370"/>
    <d v="2025-06-27T00:00:00"/>
    <n v="2168.75"/>
    <n v="49"/>
    <x v="15"/>
    <x v="0"/>
    <s v="Plzeňský"/>
    <x v="5"/>
  </r>
  <r>
    <n v="10371"/>
    <d v="2025-06-10T00:00:00"/>
    <n v="2543.75"/>
    <n v="9"/>
    <x v="42"/>
    <x v="1"/>
    <s v="neznámý"/>
    <x v="5"/>
  </r>
  <r>
    <n v="10372"/>
    <d v="2025-06-30T00:00:00"/>
    <n v="6956"/>
    <n v="21"/>
    <x v="23"/>
    <x v="1"/>
    <s v="Středočeský"/>
    <x v="5"/>
  </r>
  <r>
    <n v="10373"/>
    <d v="2025-06-20T00:00:00"/>
    <n v="2002.25"/>
    <n v="72"/>
    <x v="61"/>
    <x v="0"/>
    <s v="Jihočeský"/>
    <x v="5"/>
  </r>
  <r>
    <n v="10374"/>
    <d v="2025-06-26T00:00:00"/>
    <n v="478"/>
    <n v="39"/>
    <x v="11"/>
    <x v="0"/>
    <s v="Plzeňský"/>
    <x v="5"/>
  </r>
  <r>
    <n v="10375"/>
    <d v="2025-06-16T00:00:00"/>
    <n v="13166.5"/>
    <n v="10"/>
    <x v="49"/>
    <x v="1"/>
    <s v="Plzeňský"/>
    <x v="5"/>
  </r>
  <r>
    <n v="10376"/>
    <d v="2025-06-05T00:00:00"/>
    <n v="7002.75"/>
    <n v="3"/>
    <x v="13"/>
    <x v="1"/>
    <s v="Jihočeský"/>
    <x v="5"/>
  </r>
  <r>
    <n v="10377"/>
    <d v="2025-06-16T00:00:00"/>
    <n v="14946.5"/>
    <n v="11"/>
    <x v="17"/>
    <x v="1"/>
    <s v="Plzeňský"/>
    <x v="5"/>
  </r>
  <r>
    <n v="10378"/>
    <d v="2025-06-19T00:00:00"/>
    <n v="1737.5"/>
    <n v="60"/>
    <x v="74"/>
    <x v="0"/>
    <s v="Praha"/>
    <x v="5"/>
  </r>
  <r>
    <n v="10379"/>
    <d v="2025-06-20T00:00:00"/>
    <n v="483.25"/>
    <n v="69"/>
    <x v="30"/>
    <x v="0"/>
    <s v="Plzeňský"/>
    <x v="5"/>
  </r>
  <r>
    <n v="10380"/>
    <d v="2025-06-21T00:00:00"/>
    <n v="2531.25"/>
    <n v="72"/>
    <x v="61"/>
    <x v="0"/>
    <s v="Jihočeský"/>
    <x v="5"/>
  </r>
  <r>
    <n v="10381"/>
    <d v="2025-06-30T00:00:00"/>
    <n v="2518.25"/>
    <n v="46"/>
    <x v="4"/>
    <x v="0"/>
    <s v="Středočeský"/>
    <x v="5"/>
  </r>
  <r>
    <n v="10382"/>
    <d v="2025-06-10T00:00:00"/>
    <n v="6629"/>
    <n v="5"/>
    <x v="5"/>
    <x v="1"/>
    <s v="Plzeňský"/>
    <x v="5"/>
  </r>
  <r>
    <n v="10383"/>
    <d v="2025-06-08T00:00:00"/>
    <n v="1318.75"/>
    <n v="67"/>
    <x v="21"/>
    <x v="0"/>
    <s v="Praha"/>
    <x v="5"/>
  </r>
  <r>
    <n v="10384"/>
    <d v="2025-06-26T00:00:00"/>
    <n v="1053"/>
    <n v="73"/>
    <x v="35"/>
    <x v="0"/>
    <s v="Středočeský"/>
    <x v="5"/>
  </r>
  <r>
    <n v="10385"/>
    <d v="2025-06-19T00:00:00"/>
    <n v="2414.25"/>
    <n v="57"/>
    <x v="1"/>
    <x v="0"/>
    <s v="Jihočeský"/>
    <x v="5"/>
  </r>
  <r>
    <n v="10386"/>
    <d v="2025-06-06T00:00:00"/>
    <n v="1952.5"/>
    <n v="51"/>
    <x v="22"/>
    <x v="0"/>
    <s v="Plzeňský"/>
    <x v="5"/>
  </r>
  <r>
    <n v="10387"/>
    <d v="2025-06-23T00:00:00"/>
    <n v="1728.25"/>
    <n v="47"/>
    <x v="53"/>
    <x v="0"/>
    <s v="Plzeňský"/>
    <x v="5"/>
  </r>
  <r>
    <n v="10388"/>
    <d v="2025-06-16T00:00:00"/>
    <n v="15901.75"/>
    <n v="26"/>
    <x v="33"/>
    <x v="1"/>
    <s v="Jihočeský"/>
    <x v="5"/>
  </r>
  <r>
    <n v="10389"/>
    <d v="2025-06-06T00:00:00"/>
    <n v="2408.5"/>
    <n v="68"/>
    <x v="66"/>
    <x v="0"/>
    <s v="neznámý"/>
    <x v="5"/>
  </r>
  <r>
    <n v="10390"/>
    <d v="2025-06-01T00:00:00"/>
    <n v="1120.5"/>
    <n v="49"/>
    <x v="15"/>
    <x v="0"/>
    <s v="Plzeňský"/>
    <x v="5"/>
  </r>
  <r>
    <n v="10391"/>
    <d v="2025-06-10T00:00:00"/>
    <n v="7051.25"/>
    <n v="21"/>
    <x v="23"/>
    <x v="1"/>
    <s v="Středočeský"/>
    <x v="5"/>
  </r>
  <r>
    <n v="10392"/>
    <d v="2025-06-08T00:00:00"/>
    <n v="14175.25"/>
    <n v="22"/>
    <x v="45"/>
    <x v="1"/>
    <s v="Praha"/>
    <x v="5"/>
  </r>
  <r>
    <n v="10393"/>
    <d v="2025-06-22T00:00:00"/>
    <n v="1958.75"/>
    <n v="50"/>
    <x v="8"/>
    <x v="0"/>
    <s v="Středočeský"/>
    <x v="5"/>
  </r>
  <r>
    <n v="10394"/>
    <d v="2025-06-27T00:00:00"/>
    <n v="2099.25"/>
    <n v="50"/>
    <x v="8"/>
    <x v="0"/>
    <s v="Středočeský"/>
    <x v="5"/>
  </r>
  <r>
    <n v="10395"/>
    <d v="2025-06-28T00:00:00"/>
    <n v="2330.75"/>
    <n v="54"/>
    <x v="39"/>
    <x v="0"/>
    <s v="Jihočeský"/>
    <x v="5"/>
  </r>
  <r>
    <n v="10396"/>
    <d v="2025-06-17T00:00:00"/>
    <n v="1016.5"/>
    <n v="49"/>
    <x v="15"/>
    <x v="0"/>
    <s v="Plzeňský"/>
    <x v="5"/>
  </r>
  <r>
    <n v="10397"/>
    <d v="2025-06-23T00:00:00"/>
    <n v="321.25"/>
    <n v="43"/>
    <x v="75"/>
    <x v="0"/>
    <s v="Plzeňský"/>
    <x v="5"/>
  </r>
  <r>
    <n v="10398"/>
    <d v="2025-06-28T00:00:00"/>
    <n v="2440"/>
    <n v="55"/>
    <x v="48"/>
    <x v="0"/>
    <s v="Plzeňský"/>
    <x v="5"/>
  </r>
  <r>
    <n v="10399"/>
    <d v="2025-06-07T00:00:00"/>
    <n v="4242.25"/>
    <n v="8"/>
    <x v="27"/>
    <x v="1"/>
    <s v="Středočeský"/>
    <x v="5"/>
  </r>
  <r>
    <n v="10400"/>
    <d v="2025-06-14T00:00:00"/>
    <n v="7700.5"/>
    <n v="28"/>
    <x v="64"/>
    <x v="1"/>
    <s v="Jihočeský"/>
    <x v="5"/>
  </r>
  <r>
    <n v="10401"/>
    <d v="2025-06-28T00:00:00"/>
    <n v="688.75"/>
    <n v="39"/>
    <x v="11"/>
    <x v="0"/>
    <s v="Plzeňský"/>
    <x v="5"/>
  </r>
  <r>
    <n v="10402"/>
    <d v="2025-06-13T00:00:00"/>
    <n v="7035.5"/>
    <n v="30"/>
    <x v="55"/>
    <x v="1"/>
    <s v="Praha"/>
    <x v="5"/>
  </r>
  <r>
    <n v="10403"/>
    <d v="2025-06-28T00:00:00"/>
    <n v="11174.25"/>
    <n v="14"/>
    <x v="28"/>
    <x v="1"/>
    <s v="Praha"/>
    <x v="5"/>
  </r>
  <r>
    <n v="10404"/>
    <d v="2025-06-17T00:00:00"/>
    <n v="2187.75"/>
    <n v="47"/>
    <x v="53"/>
    <x v="0"/>
    <s v="Plzeňský"/>
    <x v="5"/>
  </r>
  <r>
    <n v="10405"/>
    <d v="2025-06-18T00:00:00"/>
    <n v="644.5"/>
    <n v="40"/>
    <x v="43"/>
    <x v="0"/>
    <s v="Plzeňský"/>
    <x v="5"/>
  </r>
  <r>
    <n v="10406"/>
    <d v="2025-06-09T00:00:00"/>
    <n v="1906.25"/>
    <n v="48"/>
    <x v="59"/>
    <x v="0"/>
    <s v="Středočeský"/>
    <x v="5"/>
  </r>
  <r>
    <n v="10407"/>
    <d v="2025-06-06T00:00:00"/>
    <n v="1221.75"/>
    <n v="42"/>
    <x v="0"/>
    <x v="0"/>
    <s v="Praha"/>
    <x v="5"/>
  </r>
  <r>
    <n v="10408"/>
    <d v="2025-06-12T00:00:00"/>
    <n v="17069.75"/>
    <n v="17"/>
    <x v="58"/>
    <x v="1"/>
    <s v="Středočeský"/>
    <x v="5"/>
  </r>
  <r>
    <n v="10409"/>
    <d v="2025-06-20T00:00:00"/>
    <n v="5812"/>
    <n v="9"/>
    <x v="42"/>
    <x v="1"/>
    <s v="neznámý"/>
    <x v="5"/>
  </r>
  <r>
    <n v="10410"/>
    <d v="2025-06-09T00:00:00"/>
    <n v="14391.25"/>
    <n v="18"/>
    <x v="56"/>
    <x v="1"/>
    <s v="Praha"/>
    <x v="5"/>
  </r>
  <r>
    <n v="10411"/>
    <d v="2025-06-10T00:00:00"/>
    <n v="15685.25"/>
    <n v="9"/>
    <x v="42"/>
    <x v="1"/>
    <s v="neznámý"/>
    <x v="5"/>
  </r>
  <r>
    <n v="10412"/>
    <d v="2025-06-08T00:00:00"/>
    <n v="2305.25"/>
    <n v="67"/>
    <x v="21"/>
    <x v="0"/>
    <s v="Praha"/>
    <x v="5"/>
  </r>
  <r>
    <n v="10413"/>
    <d v="2025-06-29T00:00:00"/>
    <n v="2146.25"/>
    <n v="50"/>
    <x v="8"/>
    <x v="0"/>
    <s v="Středočeský"/>
    <x v="5"/>
  </r>
  <r>
    <n v="10414"/>
    <d v="2025-06-28T00:00:00"/>
    <n v="1036"/>
    <n v="59"/>
    <x v="71"/>
    <x v="0"/>
    <s v="Středočeský"/>
    <x v="5"/>
  </r>
  <r>
    <n v="10415"/>
    <d v="2025-06-10T00:00:00"/>
    <n v="13067.25"/>
    <n v="6"/>
    <x v="34"/>
    <x v="1"/>
    <s v="Plzeňský"/>
    <x v="5"/>
  </r>
  <r>
    <n v="10416"/>
    <d v="2025-06-06T00:00:00"/>
    <n v="5798"/>
    <n v="24"/>
    <x v="57"/>
    <x v="1"/>
    <s v="Jihočeský"/>
    <x v="5"/>
  </r>
  <r>
    <n v="10417"/>
    <d v="2025-06-04T00:00:00"/>
    <n v="8025.75"/>
    <n v="23"/>
    <x v="73"/>
    <x v="1"/>
    <s v="Praha"/>
    <x v="5"/>
  </r>
  <r>
    <n v="10418"/>
    <d v="2025-06-16T00:00:00"/>
    <n v="6350"/>
    <n v="5"/>
    <x v="5"/>
    <x v="1"/>
    <s v="Plzeňský"/>
    <x v="5"/>
  </r>
  <r>
    <n v="10419"/>
    <d v="2025-06-09T00:00:00"/>
    <n v="6339.75"/>
    <n v="15"/>
    <x v="37"/>
    <x v="1"/>
    <s v="Praha"/>
    <x v="5"/>
  </r>
  <r>
    <n v="10420"/>
    <d v="2025-06-10T00:00:00"/>
    <n v="2208"/>
    <n v="44"/>
    <x v="63"/>
    <x v="0"/>
    <s v="neznámý"/>
    <x v="5"/>
  </r>
  <r>
    <n v="10421"/>
    <d v="2025-06-20T00:00:00"/>
    <n v="13230"/>
    <n v="18"/>
    <x v="56"/>
    <x v="1"/>
    <s v="Praha"/>
    <x v="5"/>
  </r>
  <r>
    <n v="10422"/>
    <d v="2025-06-12T00:00:00"/>
    <n v="1427.75"/>
    <n v="41"/>
    <x v="65"/>
    <x v="0"/>
    <s v="Praha"/>
    <x v="5"/>
  </r>
  <r>
    <n v="10423"/>
    <d v="2025-06-07T00:00:00"/>
    <n v="8672"/>
    <n v="30"/>
    <x v="55"/>
    <x v="1"/>
    <s v="Praha"/>
    <x v="5"/>
  </r>
  <r>
    <n v="10424"/>
    <d v="2025-06-03T00:00:00"/>
    <n v="2690"/>
    <n v="74"/>
    <x v="18"/>
    <x v="0"/>
    <s v="Středočeský"/>
    <x v="5"/>
  </r>
  <r>
    <n v="10425"/>
    <d v="2025-06-03T00:00:00"/>
    <n v="1567"/>
    <n v="76"/>
    <x v="2"/>
    <x v="0"/>
    <s v="Jihočeský"/>
    <x v="5"/>
  </r>
  <r>
    <n v="10426"/>
    <d v="2025-06-27T00:00:00"/>
    <n v="8672.5"/>
    <n v="12"/>
    <x v="60"/>
    <x v="1"/>
    <s v="Středočeský"/>
    <x v="5"/>
  </r>
  <r>
    <n v="10427"/>
    <d v="2025-06-07T00:00:00"/>
    <n v="5062.75"/>
    <n v="26"/>
    <x v="33"/>
    <x v="1"/>
    <s v="Jihočeský"/>
    <x v="5"/>
  </r>
  <r>
    <n v="10428"/>
    <d v="2025-06-13T00:00:00"/>
    <n v="2270.75"/>
    <n v="59"/>
    <x v="71"/>
    <x v="0"/>
    <s v="Středočeský"/>
    <x v="5"/>
  </r>
  <r>
    <n v="10429"/>
    <d v="2025-06-02T00:00:00"/>
    <n v="548.75"/>
    <n v="56"/>
    <x v="29"/>
    <x v="0"/>
    <s v="Praha"/>
    <x v="5"/>
  </r>
  <r>
    <n v="10430"/>
    <d v="2025-06-15T00:00:00"/>
    <n v="2253.5"/>
    <n v="60"/>
    <x v="74"/>
    <x v="0"/>
    <s v="Praha"/>
    <x v="5"/>
  </r>
  <r>
    <n v="10431"/>
    <d v="2025-06-30T00:00:00"/>
    <n v="855.25"/>
    <n v="38"/>
    <x v="38"/>
    <x v="0"/>
    <s v="Plzeňský"/>
    <x v="5"/>
  </r>
  <r>
    <n v="10432"/>
    <d v="2025-06-25T00:00:00"/>
    <n v="1486.75"/>
    <n v="31"/>
    <x v="62"/>
    <x v="0"/>
    <s v="Středočeský"/>
    <x v="5"/>
  </r>
  <r>
    <n v="10433"/>
    <d v="2025-06-17T00:00:00"/>
    <n v="2094"/>
    <n v="2"/>
    <x v="32"/>
    <x v="1"/>
    <s v="Praha"/>
    <x v="5"/>
  </r>
  <r>
    <n v="10434"/>
    <d v="2025-06-01T00:00:00"/>
    <n v="1737.75"/>
    <n v="42"/>
    <x v="0"/>
    <x v="0"/>
    <s v="Praha"/>
    <x v="5"/>
  </r>
  <r>
    <n v="10435"/>
    <d v="2025-06-27T00:00:00"/>
    <n v="14934"/>
    <n v="19"/>
    <x v="24"/>
    <x v="1"/>
    <s v="Praha"/>
    <x v="5"/>
  </r>
  <r>
    <n v="10436"/>
    <d v="2025-06-02T00:00:00"/>
    <n v="2199"/>
    <n v="23"/>
    <x v="73"/>
    <x v="1"/>
    <s v="Praha"/>
    <x v="5"/>
  </r>
  <r>
    <n v="10437"/>
    <d v="2025-06-07T00:00:00"/>
    <n v="1876"/>
    <n v="36"/>
    <x v="68"/>
    <x v="0"/>
    <s v="Středočeský"/>
    <x v="5"/>
  </r>
  <r>
    <n v="10438"/>
    <d v="2025-06-08T00:00:00"/>
    <n v="1707.5"/>
    <n v="52"/>
    <x v="46"/>
    <x v="0"/>
    <s v="Jihočeský"/>
    <x v="5"/>
  </r>
  <r>
    <n v="10439"/>
    <d v="2025-06-27T00:00:00"/>
    <n v="1172.25"/>
    <n v="48"/>
    <x v="59"/>
    <x v="0"/>
    <s v="Středočeský"/>
    <x v="5"/>
  </r>
  <r>
    <n v="10440"/>
    <d v="2025-06-18T00:00:00"/>
    <n v="2008.75"/>
    <n v="71"/>
    <x v="25"/>
    <x v="0"/>
    <s v="Středočeský"/>
    <x v="5"/>
  </r>
  <r>
    <n v="10441"/>
    <d v="2025-06-23T00:00:00"/>
    <n v="781.25"/>
    <n v="60"/>
    <x v="74"/>
    <x v="0"/>
    <s v="Praha"/>
    <x v="5"/>
  </r>
  <r>
    <n v="10442"/>
    <d v="2025-06-17T00:00:00"/>
    <n v="9578.75"/>
    <n v="17"/>
    <x v="58"/>
    <x v="1"/>
    <s v="Středočeský"/>
    <x v="5"/>
  </r>
  <r>
    <n v="10443"/>
    <d v="2025-07-24T00:00:00"/>
    <n v="8042"/>
    <n v="24"/>
    <x v="57"/>
    <x v="1"/>
    <s v="Jihočeský"/>
    <x v="6"/>
  </r>
  <r>
    <n v="10444"/>
    <d v="2025-07-05T00:00:00"/>
    <n v="9772.75"/>
    <n v="20"/>
    <x v="16"/>
    <x v="1"/>
    <s v="Praha"/>
    <x v="6"/>
  </r>
  <r>
    <n v="10445"/>
    <d v="2025-07-14T00:00:00"/>
    <n v="1139.5"/>
    <n v="55"/>
    <x v="48"/>
    <x v="0"/>
    <s v="Plzeňský"/>
    <x v="6"/>
  </r>
  <r>
    <n v="10446"/>
    <d v="2025-07-28T00:00:00"/>
    <n v="1069.75"/>
    <n v="48"/>
    <x v="59"/>
    <x v="0"/>
    <s v="Středočeský"/>
    <x v="6"/>
  </r>
  <r>
    <n v="10447"/>
    <d v="2025-07-06T00:00:00"/>
    <n v="1206.5"/>
    <n v="56"/>
    <x v="29"/>
    <x v="0"/>
    <s v="Praha"/>
    <x v="6"/>
  </r>
  <r>
    <n v="10448"/>
    <d v="2025-07-30T00:00:00"/>
    <n v="2463.5"/>
    <n v="44"/>
    <x v="63"/>
    <x v="0"/>
    <s v="neznámý"/>
    <x v="6"/>
  </r>
  <r>
    <n v="10449"/>
    <d v="2025-07-14T00:00:00"/>
    <n v="2085"/>
    <n v="32"/>
    <x v="50"/>
    <x v="0"/>
    <s v="Jihočeský"/>
    <x v="6"/>
  </r>
  <r>
    <n v="10450"/>
    <d v="2025-07-29T00:00:00"/>
    <n v="6548"/>
    <n v="4"/>
    <x v="12"/>
    <x v="1"/>
    <s v="Středočeský"/>
    <x v="6"/>
  </r>
  <r>
    <n v="10451"/>
    <d v="2025-07-19T00:00:00"/>
    <n v="1741.75"/>
    <n v="35"/>
    <x v="26"/>
    <x v="0"/>
    <s v="Praha"/>
    <x v="6"/>
  </r>
  <r>
    <n v="10452"/>
    <d v="2025-07-23T00:00:00"/>
    <n v="13417"/>
    <n v="26"/>
    <x v="33"/>
    <x v="1"/>
    <s v="Jihočeský"/>
    <x v="6"/>
  </r>
  <r>
    <n v="10453"/>
    <d v="2025-07-23T00:00:00"/>
    <n v="3057.5"/>
    <n v="16"/>
    <x v="7"/>
    <x v="1"/>
    <s v="Praha"/>
    <x v="6"/>
  </r>
  <r>
    <n v="10454"/>
    <d v="2025-07-18T00:00:00"/>
    <n v="5771.5"/>
    <n v="29"/>
    <x v="9"/>
    <x v="1"/>
    <s v="Praha"/>
    <x v="6"/>
  </r>
  <r>
    <n v="10455"/>
    <d v="2025-07-08T00:00:00"/>
    <n v="9651.25"/>
    <n v="7"/>
    <x v="51"/>
    <x v="1"/>
    <s v="Praha"/>
    <x v="6"/>
  </r>
  <r>
    <n v="10456"/>
    <d v="2025-07-05T00:00:00"/>
    <n v="9028.75"/>
    <n v="25"/>
    <x v="52"/>
    <x v="1"/>
    <s v="Praha"/>
    <x v="6"/>
  </r>
  <r>
    <n v="10457"/>
    <d v="2025-07-28T00:00:00"/>
    <n v="4402.25"/>
    <n v="20"/>
    <x v="16"/>
    <x v="1"/>
    <s v="Praha"/>
    <x v="6"/>
  </r>
  <r>
    <n v="10458"/>
    <d v="2025-07-08T00:00:00"/>
    <n v="891.75"/>
    <n v="63"/>
    <x v="41"/>
    <x v="0"/>
    <s v="Praha"/>
    <x v="6"/>
  </r>
  <r>
    <n v="10459"/>
    <d v="2025-07-18T00:00:00"/>
    <n v="15654"/>
    <n v="4"/>
    <x v="12"/>
    <x v="1"/>
    <s v="Středočeský"/>
    <x v="6"/>
  </r>
  <r>
    <n v="10460"/>
    <d v="2025-07-15T00:00:00"/>
    <n v="7615.25"/>
    <n v="17"/>
    <x v="58"/>
    <x v="1"/>
    <s v="Středočeský"/>
    <x v="6"/>
  </r>
  <r>
    <n v="10461"/>
    <d v="2025-07-03T00:00:00"/>
    <n v="2053.5"/>
    <n v="45"/>
    <x v="47"/>
    <x v="0"/>
    <s v="Praha"/>
    <x v="6"/>
  </r>
  <r>
    <n v="10462"/>
    <d v="2025-07-30T00:00:00"/>
    <n v="1550.75"/>
    <n v="73"/>
    <x v="35"/>
    <x v="0"/>
    <s v="Středočeský"/>
    <x v="6"/>
  </r>
  <r>
    <n v="10463"/>
    <d v="2025-07-16T00:00:00"/>
    <n v="2227.5"/>
    <n v="39"/>
    <x v="11"/>
    <x v="0"/>
    <s v="Plzeňský"/>
    <x v="6"/>
  </r>
  <r>
    <n v="10464"/>
    <d v="2025-07-02T00:00:00"/>
    <n v="650.25"/>
    <n v="67"/>
    <x v="21"/>
    <x v="0"/>
    <s v="Praha"/>
    <x v="6"/>
  </r>
  <r>
    <n v="10465"/>
    <d v="2025-07-17T00:00:00"/>
    <n v="2693.5"/>
    <n v="65"/>
    <x v="54"/>
    <x v="0"/>
    <s v="Plzeňský"/>
    <x v="6"/>
  </r>
  <r>
    <n v="10466"/>
    <d v="2025-07-05T00:00:00"/>
    <n v="15450"/>
    <n v="11"/>
    <x v="17"/>
    <x v="1"/>
    <s v="Plzeňský"/>
    <x v="6"/>
  </r>
  <r>
    <n v="10467"/>
    <d v="2025-07-08T00:00:00"/>
    <n v="430.5"/>
    <n v="58"/>
    <x v="69"/>
    <x v="0"/>
    <s v="Praha"/>
    <x v="6"/>
  </r>
  <r>
    <n v="10468"/>
    <d v="2025-07-09T00:00:00"/>
    <n v="3934.5"/>
    <n v="14"/>
    <x v="28"/>
    <x v="1"/>
    <s v="Praha"/>
    <x v="6"/>
  </r>
  <r>
    <n v="10469"/>
    <d v="2025-07-18T00:00:00"/>
    <n v="16678.5"/>
    <n v="5"/>
    <x v="5"/>
    <x v="1"/>
    <s v="Plzeňský"/>
    <x v="6"/>
  </r>
  <r>
    <n v="10470"/>
    <d v="2025-07-11T00:00:00"/>
    <n v="14292.5"/>
    <n v="2"/>
    <x v="32"/>
    <x v="1"/>
    <s v="Praha"/>
    <x v="6"/>
  </r>
  <r>
    <n v="10471"/>
    <d v="2025-07-20T00:00:00"/>
    <n v="1977.5"/>
    <n v="53"/>
    <x v="67"/>
    <x v="0"/>
    <s v="Středočeský"/>
    <x v="6"/>
  </r>
  <r>
    <n v="10472"/>
    <d v="2025-07-12T00:00:00"/>
    <n v="11024.25"/>
    <n v="13"/>
    <x v="36"/>
    <x v="1"/>
    <s v="Jihočeský"/>
    <x v="6"/>
  </r>
  <r>
    <n v="10473"/>
    <d v="2025-07-10T00:00:00"/>
    <n v="264"/>
    <n v="68"/>
    <x v="66"/>
    <x v="0"/>
    <s v="neznámý"/>
    <x v="6"/>
  </r>
  <r>
    <n v="10474"/>
    <d v="2025-07-21T00:00:00"/>
    <n v="2027.25"/>
    <n v="54"/>
    <x v="39"/>
    <x v="0"/>
    <s v="Jihočeský"/>
    <x v="6"/>
  </r>
  <r>
    <n v="10475"/>
    <d v="2025-07-03T00:00:00"/>
    <n v="818.5"/>
    <n v="53"/>
    <x v="67"/>
    <x v="0"/>
    <s v="Středočeský"/>
    <x v="6"/>
  </r>
  <r>
    <n v="10476"/>
    <d v="2025-07-23T00:00:00"/>
    <n v="497.5"/>
    <n v="58"/>
    <x v="69"/>
    <x v="0"/>
    <s v="Praha"/>
    <x v="6"/>
  </r>
  <r>
    <n v="10477"/>
    <d v="2025-07-27T00:00:00"/>
    <n v="10929.5"/>
    <n v="9"/>
    <x v="42"/>
    <x v="1"/>
    <s v="neznámý"/>
    <x v="6"/>
  </r>
  <r>
    <n v="10478"/>
    <d v="2025-07-01T00:00:00"/>
    <n v="8808.25"/>
    <n v="22"/>
    <x v="45"/>
    <x v="1"/>
    <s v="Praha"/>
    <x v="6"/>
  </r>
  <r>
    <n v="10479"/>
    <d v="2025-07-31T00:00:00"/>
    <n v="275.5"/>
    <n v="37"/>
    <x v="3"/>
    <x v="0"/>
    <s v="Jihočeský"/>
    <x v="6"/>
  </r>
  <r>
    <n v="10480"/>
    <d v="2025-07-12T00:00:00"/>
    <n v="1184.75"/>
    <n v="45"/>
    <x v="47"/>
    <x v="0"/>
    <s v="Praha"/>
    <x v="6"/>
  </r>
  <r>
    <n v="10481"/>
    <d v="2025-07-18T00:00:00"/>
    <n v="2478.5"/>
    <n v="48"/>
    <x v="59"/>
    <x v="0"/>
    <s v="Středočeský"/>
    <x v="6"/>
  </r>
  <r>
    <n v="10482"/>
    <d v="2025-07-23T00:00:00"/>
    <n v="2531.25"/>
    <n v="33"/>
    <x v="6"/>
    <x v="0"/>
    <s v="Praha"/>
    <x v="6"/>
  </r>
  <r>
    <n v="10483"/>
    <d v="2025-07-21T00:00:00"/>
    <n v="346.5"/>
    <n v="48"/>
    <x v="59"/>
    <x v="0"/>
    <s v="Středočeský"/>
    <x v="6"/>
  </r>
  <r>
    <n v="10484"/>
    <d v="2025-07-20T00:00:00"/>
    <n v="3745.75"/>
    <n v="8"/>
    <x v="27"/>
    <x v="1"/>
    <s v="Středočeský"/>
    <x v="6"/>
  </r>
  <r>
    <n v="10485"/>
    <d v="2025-07-05T00:00:00"/>
    <n v="6373.5"/>
    <n v="14"/>
    <x v="28"/>
    <x v="1"/>
    <s v="Praha"/>
    <x v="6"/>
  </r>
  <r>
    <n v="10486"/>
    <d v="2025-07-17T00:00:00"/>
    <n v="1465.25"/>
    <n v="48"/>
    <x v="59"/>
    <x v="0"/>
    <s v="Středočeský"/>
    <x v="6"/>
  </r>
  <r>
    <n v="10487"/>
    <d v="2025-07-01T00:00:00"/>
    <n v="281.25"/>
    <n v="55"/>
    <x v="48"/>
    <x v="0"/>
    <s v="Plzeňský"/>
    <x v="6"/>
  </r>
  <r>
    <n v="10488"/>
    <d v="2025-07-20T00:00:00"/>
    <n v="2489"/>
    <n v="37"/>
    <x v="3"/>
    <x v="0"/>
    <s v="Jihočeský"/>
    <x v="6"/>
  </r>
  <r>
    <n v="10489"/>
    <d v="2025-07-11T00:00:00"/>
    <n v="2619"/>
    <n v="24"/>
    <x v="57"/>
    <x v="1"/>
    <s v="Jihočeský"/>
    <x v="6"/>
  </r>
  <r>
    <n v="10490"/>
    <d v="2025-07-17T00:00:00"/>
    <n v="742.75"/>
    <n v="53"/>
    <x v="67"/>
    <x v="0"/>
    <s v="Středočeský"/>
    <x v="6"/>
  </r>
  <r>
    <n v="10491"/>
    <d v="2025-07-21T00:00:00"/>
    <n v="2705.5"/>
    <n v="74"/>
    <x v="18"/>
    <x v="0"/>
    <s v="Středočeský"/>
    <x v="6"/>
  </r>
  <r>
    <n v="10492"/>
    <d v="2025-07-16T00:00:00"/>
    <n v="14481.25"/>
    <n v="24"/>
    <x v="57"/>
    <x v="1"/>
    <s v="Jihočeský"/>
    <x v="6"/>
  </r>
  <r>
    <n v="10493"/>
    <d v="2025-07-19T00:00:00"/>
    <n v="6822.75"/>
    <n v="18"/>
    <x v="56"/>
    <x v="1"/>
    <s v="Praha"/>
    <x v="6"/>
  </r>
  <r>
    <n v="10494"/>
    <d v="2025-07-16T00:00:00"/>
    <n v="2512.5"/>
    <n v="35"/>
    <x v="26"/>
    <x v="0"/>
    <s v="Praha"/>
    <x v="6"/>
  </r>
  <r>
    <n v="10495"/>
    <d v="2025-07-14T00:00:00"/>
    <n v="12017.5"/>
    <n v="7"/>
    <x v="51"/>
    <x v="1"/>
    <s v="Praha"/>
    <x v="6"/>
  </r>
  <r>
    <n v="10496"/>
    <d v="2025-07-24T00:00:00"/>
    <n v="11757.25"/>
    <n v="23"/>
    <x v="73"/>
    <x v="1"/>
    <s v="Praha"/>
    <x v="6"/>
  </r>
  <r>
    <n v="10497"/>
    <d v="2025-07-26T00:00:00"/>
    <n v="8353.5"/>
    <n v="7"/>
    <x v="51"/>
    <x v="1"/>
    <s v="Praha"/>
    <x v="6"/>
  </r>
  <r>
    <n v="10498"/>
    <d v="2025-07-20T00:00:00"/>
    <n v="874.75"/>
    <n v="57"/>
    <x v="1"/>
    <x v="0"/>
    <s v="Jihočeský"/>
    <x v="6"/>
  </r>
  <r>
    <n v="10499"/>
    <d v="2025-07-16T00:00:00"/>
    <n v="2546.75"/>
    <n v="64"/>
    <x v="31"/>
    <x v="0"/>
    <s v="Jihočeský"/>
    <x v="6"/>
  </r>
  <r>
    <n v="10500"/>
    <d v="2025-07-12T00:00:00"/>
    <n v="9969.25"/>
    <n v="3"/>
    <x v="13"/>
    <x v="1"/>
    <s v="Jihočeský"/>
    <x v="6"/>
  </r>
  <r>
    <n v="10501"/>
    <d v="2025-07-20T00:00:00"/>
    <n v="686"/>
    <n v="50"/>
    <x v="8"/>
    <x v="0"/>
    <s v="Středočeský"/>
    <x v="6"/>
  </r>
  <r>
    <n v="10502"/>
    <d v="2025-07-27T00:00:00"/>
    <n v="12169.25"/>
    <n v="9"/>
    <x v="42"/>
    <x v="1"/>
    <s v="neznámý"/>
    <x v="6"/>
  </r>
  <r>
    <n v="10503"/>
    <d v="2025-07-04T00:00:00"/>
    <n v="1257.75"/>
    <n v="55"/>
    <x v="48"/>
    <x v="0"/>
    <s v="Plzeňský"/>
    <x v="6"/>
  </r>
  <r>
    <n v="10504"/>
    <d v="2025-07-30T00:00:00"/>
    <n v="10456"/>
    <n v="15"/>
    <x v="37"/>
    <x v="1"/>
    <s v="Praha"/>
    <x v="6"/>
  </r>
  <r>
    <n v="10505"/>
    <d v="2025-07-03T00:00:00"/>
    <n v="1736.25"/>
    <n v="62"/>
    <x v="14"/>
    <x v="0"/>
    <s v="Praha"/>
    <x v="6"/>
  </r>
  <r>
    <n v="10506"/>
    <d v="2025-07-26T00:00:00"/>
    <n v="5779.5"/>
    <n v="13"/>
    <x v="36"/>
    <x v="1"/>
    <s v="Jihočeský"/>
    <x v="6"/>
  </r>
  <r>
    <n v="10507"/>
    <d v="2025-07-11T00:00:00"/>
    <n v="1734.25"/>
    <n v="38"/>
    <x v="38"/>
    <x v="0"/>
    <s v="Plzeňský"/>
    <x v="6"/>
  </r>
  <r>
    <n v="10508"/>
    <d v="2025-07-26T00:00:00"/>
    <n v="7298"/>
    <n v="13"/>
    <x v="36"/>
    <x v="1"/>
    <s v="Jihočeský"/>
    <x v="6"/>
  </r>
  <r>
    <n v="10509"/>
    <d v="2025-07-11T00:00:00"/>
    <n v="1306.25"/>
    <n v="45"/>
    <x v="47"/>
    <x v="0"/>
    <s v="Praha"/>
    <x v="6"/>
  </r>
  <r>
    <n v="10510"/>
    <d v="2025-07-27T00:00:00"/>
    <n v="12180"/>
    <n v="9"/>
    <x v="42"/>
    <x v="1"/>
    <s v="neznámý"/>
    <x v="6"/>
  </r>
  <r>
    <n v="10511"/>
    <d v="2025-08-16T00:00:00"/>
    <n v="294.25"/>
    <n v="61"/>
    <x v="19"/>
    <x v="0"/>
    <s v="Středočeský"/>
    <x v="7"/>
  </r>
  <r>
    <n v="10512"/>
    <d v="2025-08-11T00:00:00"/>
    <n v="399.75"/>
    <n v="52"/>
    <x v="46"/>
    <x v="0"/>
    <s v="Jihočeský"/>
    <x v="7"/>
  </r>
  <r>
    <n v="10513"/>
    <d v="2025-08-21T00:00:00"/>
    <n v="1288.5"/>
    <n v="72"/>
    <x v="61"/>
    <x v="0"/>
    <s v="Jihočeský"/>
    <x v="7"/>
  </r>
  <r>
    <n v="10514"/>
    <d v="2025-08-11T00:00:00"/>
    <n v="2369.5"/>
    <n v="43"/>
    <x v="75"/>
    <x v="0"/>
    <s v="Plzeňský"/>
    <x v="7"/>
  </r>
  <r>
    <n v="10515"/>
    <d v="2025-08-17T00:00:00"/>
    <n v="1114"/>
    <n v="38"/>
    <x v="38"/>
    <x v="0"/>
    <s v="Plzeňský"/>
    <x v="7"/>
  </r>
  <r>
    <n v="10516"/>
    <d v="2025-08-12T00:00:00"/>
    <n v="2229.75"/>
    <n v="67"/>
    <x v="21"/>
    <x v="0"/>
    <s v="Praha"/>
    <x v="7"/>
  </r>
  <r>
    <n v="10517"/>
    <d v="2025-08-06T00:00:00"/>
    <n v="2389.75"/>
    <n v="49"/>
    <x v="15"/>
    <x v="0"/>
    <s v="Plzeňský"/>
    <x v="7"/>
  </r>
  <r>
    <n v="10518"/>
    <d v="2025-08-10T00:00:00"/>
    <n v="2052"/>
    <n v="12"/>
    <x v="60"/>
    <x v="1"/>
    <s v="Středočeský"/>
    <x v="7"/>
  </r>
  <r>
    <n v="10519"/>
    <d v="2025-08-28T00:00:00"/>
    <n v="12973"/>
    <n v="11"/>
    <x v="17"/>
    <x v="1"/>
    <s v="Plzeňský"/>
    <x v="7"/>
  </r>
  <r>
    <n v="10520"/>
    <d v="2025-08-16T00:00:00"/>
    <n v="10075"/>
    <n v="13"/>
    <x v="36"/>
    <x v="1"/>
    <s v="Jihočeský"/>
    <x v="7"/>
  </r>
  <r>
    <n v="10521"/>
    <d v="2025-08-02T00:00:00"/>
    <n v="9360"/>
    <n v="21"/>
    <x v="23"/>
    <x v="1"/>
    <s v="Středočeský"/>
    <x v="7"/>
  </r>
  <r>
    <n v="10522"/>
    <d v="2025-08-02T00:00:00"/>
    <n v="13517.75"/>
    <n v="17"/>
    <x v="58"/>
    <x v="1"/>
    <s v="Středočeský"/>
    <x v="7"/>
  </r>
  <r>
    <n v="10523"/>
    <d v="2025-08-17T00:00:00"/>
    <n v="398.75"/>
    <n v="38"/>
    <x v="38"/>
    <x v="0"/>
    <s v="Plzeňský"/>
    <x v="7"/>
  </r>
  <r>
    <n v="10524"/>
    <d v="2025-08-12T00:00:00"/>
    <n v="6836"/>
    <n v="27"/>
    <x v="20"/>
    <x v="1"/>
    <s v="Plzeňský"/>
    <x v="7"/>
  </r>
  <r>
    <n v="10525"/>
    <d v="2025-08-15T00:00:00"/>
    <n v="1098.75"/>
    <n v="56"/>
    <x v="29"/>
    <x v="0"/>
    <s v="Praha"/>
    <x v="7"/>
  </r>
  <r>
    <n v="10526"/>
    <d v="2025-08-25T00:00:00"/>
    <n v="407.5"/>
    <n v="42"/>
    <x v="0"/>
    <x v="0"/>
    <s v="Praha"/>
    <x v="7"/>
  </r>
  <r>
    <n v="10527"/>
    <d v="2025-08-27T00:00:00"/>
    <n v="9534.25"/>
    <n v="27"/>
    <x v="20"/>
    <x v="1"/>
    <s v="Plzeňský"/>
    <x v="7"/>
  </r>
  <r>
    <n v="10528"/>
    <d v="2025-08-19T00:00:00"/>
    <n v="1674"/>
    <n v="42"/>
    <x v="0"/>
    <x v="0"/>
    <s v="Praha"/>
    <x v="7"/>
  </r>
  <r>
    <n v="10529"/>
    <d v="2025-08-14T00:00:00"/>
    <n v="1529.25"/>
    <n v="69"/>
    <x v="30"/>
    <x v="0"/>
    <s v="Plzeňský"/>
    <x v="7"/>
  </r>
  <r>
    <n v="10530"/>
    <d v="2025-08-14T00:00:00"/>
    <n v="1504"/>
    <n v="48"/>
    <x v="59"/>
    <x v="0"/>
    <s v="Středočeský"/>
    <x v="7"/>
  </r>
  <r>
    <n v="10531"/>
    <d v="2025-08-09T00:00:00"/>
    <n v="1365.25"/>
    <n v="36"/>
    <x v="68"/>
    <x v="0"/>
    <s v="Středočeský"/>
    <x v="7"/>
  </r>
  <r>
    <n v="10532"/>
    <d v="2025-08-14T00:00:00"/>
    <n v="1055.25"/>
    <n v="37"/>
    <x v="3"/>
    <x v="0"/>
    <s v="Jihočeský"/>
    <x v="7"/>
  </r>
  <r>
    <n v="10533"/>
    <d v="2025-08-10T00:00:00"/>
    <n v="1682.5"/>
    <n v="40"/>
    <x v="43"/>
    <x v="0"/>
    <s v="Plzeňský"/>
    <x v="7"/>
  </r>
  <r>
    <n v="10534"/>
    <d v="2025-08-21T00:00:00"/>
    <n v="7947"/>
    <n v="13"/>
    <x v="36"/>
    <x v="1"/>
    <s v="Jihočeský"/>
    <x v="7"/>
  </r>
  <r>
    <n v="10535"/>
    <d v="2025-08-23T00:00:00"/>
    <n v="1767"/>
    <n v="54"/>
    <x v="39"/>
    <x v="0"/>
    <s v="Jihočeský"/>
    <x v="7"/>
  </r>
  <r>
    <n v="10536"/>
    <d v="2025-08-01T00:00:00"/>
    <n v="558.25"/>
    <n v="64"/>
    <x v="31"/>
    <x v="0"/>
    <s v="Jihočeský"/>
    <x v="7"/>
  </r>
  <r>
    <n v="10537"/>
    <d v="2025-08-30T00:00:00"/>
    <n v="1704.5"/>
    <n v="73"/>
    <x v="35"/>
    <x v="0"/>
    <s v="Středočeský"/>
    <x v="7"/>
  </r>
  <r>
    <n v="10538"/>
    <d v="2025-08-31T00:00:00"/>
    <n v="4120.25"/>
    <n v="10"/>
    <x v="49"/>
    <x v="1"/>
    <s v="Plzeňský"/>
    <x v="7"/>
  </r>
  <r>
    <n v="10539"/>
    <d v="2025-08-30T00:00:00"/>
    <n v="1021.5"/>
    <n v="46"/>
    <x v="4"/>
    <x v="0"/>
    <s v="Středočeský"/>
    <x v="7"/>
  </r>
  <r>
    <n v="10540"/>
    <d v="2025-08-12T00:00:00"/>
    <n v="1125.75"/>
    <n v="47"/>
    <x v="53"/>
    <x v="0"/>
    <s v="Plzeňský"/>
    <x v="7"/>
  </r>
  <r>
    <n v="10541"/>
    <d v="2025-08-26T00:00:00"/>
    <n v="1848"/>
    <n v="34"/>
    <x v="10"/>
    <x v="0"/>
    <s v="Praha"/>
    <x v="7"/>
  </r>
  <r>
    <n v="10542"/>
    <d v="2025-08-22T00:00:00"/>
    <n v="1202.25"/>
    <n v="69"/>
    <x v="30"/>
    <x v="0"/>
    <s v="Plzeňský"/>
    <x v="7"/>
  </r>
  <r>
    <n v="10543"/>
    <d v="2025-08-28T00:00:00"/>
    <n v="1358"/>
    <n v="45"/>
    <x v="47"/>
    <x v="0"/>
    <s v="Praha"/>
    <x v="7"/>
  </r>
  <r>
    <n v="10544"/>
    <d v="2025-08-21T00:00:00"/>
    <n v="5366.75"/>
    <n v="16"/>
    <x v="7"/>
    <x v="1"/>
    <s v="Praha"/>
    <x v="7"/>
  </r>
  <r>
    <n v="10545"/>
    <d v="2025-08-22T00:00:00"/>
    <n v="2375.5"/>
    <n v="75"/>
    <x v="70"/>
    <x v="0"/>
    <s v="Plzeňský"/>
    <x v="7"/>
  </r>
  <r>
    <n v="10546"/>
    <d v="2025-08-14T00:00:00"/>
    <n v="798"/>
    <n v="75"/>
    <x v="70"/>
    <x v="0"/>
    <s v="Plzeňský"/>
    <x v="7"/>
  </r>
  <r>
    <n v="10547"/>
    <d v="2025-08-06T00:00:00"/>
    <n v="6584.5"/>
    <n v="15"/>
    <x v="37"/>
    <x v="1"/>
    <s v="Praha"/>
    <x v="7"/>
  </r>
  <r>
    <n v="10548"/>
    <d v="2025-08-24T00:00:00"/>
    <n v="2153"/>
    <n v="36"/>
    <x v="68"/>
    <x v="0"/>
    <s v="Středočeský"/>
    <x v="7"/>
  </r>
  <r>
    <n v="10549"/>
    <d v="2025-08-24T00:00:00"/>
    <n v="857.5"/>
    <n v="35"/>
    <x v="26"/>
    <x v="0"/>
    <s v="Praha"/>
    <x v="7"/>
  </r>
  <r>
    <n v="10550"/>
    <d v="2025-08-23T00:00:00"/>
    <n v="3782.25"/>
    <n v="14"/>
    <x v="28"/>
    <x v="1"/>
    <s v="Praha"/>
    <x v="7"/>
  </r>
  <r>
    <n v="10551"/>
    <d v="2025-08-11T00:00:00"/>
    <n v="867"/>
    <n v="35"/>
    <x v="26"/>
    <x v="0"/>
    <s v="Praha"/>
    <x v="7"/>
  </r>
  <r>
    <n v="10552"/>
    <d v="2025-08-10T00:00:00"/>
    <n v="5009"/>
    <n v="3"/>
    <x v="13"/>
    <x v="1"/>
    <s v="Jihočeský"/>
    <x v="7"/>
  </r>
  <r>
    <n v="10553"/>
    <d v="2025-08-20T00:00:00"/>
    <n v="365.75"/>
    <n v="41"/>
    <x v="65"/>
    <x v="0"/>
    <s v="Praha"/>
    <x v="7"/>
  </r>
  <r>
    <n v="10554"/>
    <d v="2025-08-19T00:00:00"/>
    <n v="916.75"/>
    <n v="35"/>
    <x v="26"/>
    <x v="0"/>
    <s v="Praha"/>
    <x v="7"/>
  </r>
  <r>
    <n v="10555"/>
    <d v="2025-08-03T00:00:00"/>
    <n v="16834"/>
    <n v="13"/>
    <x v="36"/>
    <x v="1"/>
    <s v="Jihočeský"/>
    <x v="7"/>
  </r>
  <r>
    <n v="10556"/>
    <d v="2025-08-31T00:00:00"/>
    <n v="2492.25"/>
    <n v="37"/>
    <x v="3"/>
    <x v="0"/>
    <s v="Jihočeský"/>
    <x v="7"/>
  </r>
  <r>
    <n v="10557"/>
    <d v="2025-08-01T00:00:00"/>
    <n v="763"/>
    <n v="33"/>
    <x v="6"/>
    <x v="0"/>
    <s v="Praha"/>
    <x v="7"/>
  </r>
  <r>
    <n v="10558"/>
    <d v="2025-08-06T00:00:00"/>
    <n v="2449"/>
    <n v="62"/>
    <x v="14"/>
    <x v="0"/>
    <s v="Praha"/>
    <x v="7"/>
  </r>
  <r>
    <n v="10559"/>
    <d v="2025-08-05T00:00:00"/>
    <n v="1183.25"/>
    <n v="40"/>
    <x v="43"/>
    <x v="0"/>
    <s v="Plzeňský"/>
    <x v="7"/>
  </r>
  <r>
    <n v="10560"/>
    <d v="2025-08-28T00:00:00"/>
    <n v="11819.5"/>
    <n v="15"/>
    <x v="37"/>
    <x v="1"/>
    <s v="Praha"/>
    <x v="7"/>
  </r>
  <r>
    <n v="10561"/>
    <d v="2025-08-06T00:00:00"/>
    <n v="1017"/>
    <n v="74"/>
    <x v="18"/>
    <x v="0"/>
    <s v="Středočeský"/>
    <x v="7"/>
  </r>
  <r>
    <n v="10562"/>
    <d v="2025-08-01T00:00:00"/>
    <n v="16810"/>
    <n v="20"/>
    <x v="16"/>
    <x v="1"/>
    <s v="Praha"/>
    <x v="7"/>
  </r>
  <r>
    <n v="10563"/>
    <d v="2025-08-17T00:00:00"/>
    <n v="2612"/>
    <n v="76"/>
    <x v="2"/>
    <x v="0"/>
    <s v="Jihočeský"/>
    <x v="7"/>
  </r>
  <r>
    <n v="10564"/>
    <d v="2025-08-24T00:00:00"/>
    <n v="10055.5"/>
    <n v="6"/>
    <x v="34"/>
    <x v="1"/>
    <s v="Plzeňský"/>
    <x v="7"/>
  </r>
  <r>
    <n v="10565"/>
    <d v="2025-08-25T00:00:00"/>
    <n v="1972"/>
    <n v="35"/>
    <x v="26"/>
    <x v="0"/>
    <s v="Praha"/>
    <x v="7"/>
  </r>
  <r>
    <n v="10566"/>
    <d v="2025-08-01T00:00:00"/>
    <n v="1652"/>
    <n v="46"/>
    <x v="4"/>
    <x v="0"/>
    <s v="Středočeský"/>
    <x v="7"/>
  </r>
  <r>
    <n v="10567"/>
    <d v="2025-08-15T00:00:00"/>
    <n v="7211.25"/>
    <n v="16"/>
    <x v="7"/>
    <x v="1"/>
    <s v="Praha"/>
    <x v="7"/>
  </r>
  <r>
    <n v="10568"/>
    <d v="2025-08-18T00:00:00"/>
    <n v="11467"/>
    <n v="27"/>
    <x v="20"/>
    <x v="1"/>
    <s v="Plzeňský"/>
    <x v="7"/>
  </r>
  <r>
    <n v="10569"/>
    <d v="2025-08-19T00:00:00"/>
    <n v="1582.75"/>
    <n v="40"/>
    <x v="43"/>
    <x v="0"/>
    <s v="Plzeňský"/>
    <x v="7"/>
  </r>
  <r>
    <n v="10570"/>
    <d v="2025-08-25T00:00:00"/>
    <n v="1360"/>
    <n v="74"/>
    <x v="18"/>
    <x v="0"/>
    <s v="Středočeský"/>
    <x v="7"/>
  </r>
  <r>
    <n v="10571"/>
    <d v="2025-08-09T00:00:00"/>
    <n v="2094.75"/>
    <n v="37"/>
    <x v="3"/>
    <x v="0"/>
    <s v="Jihočeský"/>
    <x v="7"/>
  </r>
  <r>
    <n v="10572"/>
    <d v="2025-08-10T00:00:00"/>
    <n v="17978.75"/>
    <n v="3"/>
    <x v="13"/>
    <x v="1"/>
    <s v="Jihočeský"/>
    <x v="7"/>
  </r>
  <r>
    <n v="10573"/>
    <d v="2025-08-12T00:00:00"/>
    <n v="305.25"/>
    <n v="74"/>
    <x v="18"/>
    <x v="0"/>
    <s v="Středočeský"/>
    <x v="7"/>
  </r>
  <r>
    <n v="10574"/>
    <d v="2025-08-12T00:00:00"/>
    <n v="1808.25"/>
    <n v="42"/>
    <x v="0"/>
    <x v="0"/>
    <s v="Praha"/>
    <x v="7"/>
  </r>
  <r>
    <n v="10575"/>
    <d v="2025-08-16T00:00:00"/>
    <n v="9368.75"/>
    <n v="15"/>
    <x v="37"/>
    <x v="1"/>
    <s v="Praha"/>
    <x v="7"/>
  </r>
  <r>
    <n v="10576"/>
    <d v="2025-08-26T00:00:00"/>
    <n v="1795.75"/>
    <n v="58"/>
    <x v="69"/>
    <x v="0"/>
    <s v="Praha"/>
    <x v="7"/>
  </r>
  <r>
    <n v="10577"/>
    <d v="2025-08-24T00:00:00"/>
    <n v="280.75"/>
    <n v="38"/>
    <x v="38"/>
    <x v="0"/>
    <s v="Plzeňský"/>
    <x v="7"/>
  </r>
  <r>
    <n v="10578"/>
    <d v="2025-08-31T00:00:00"/>
    <n v="307.5"/>
    <n v="60"/>
    <x v="74"/>
    <x v="0"/>
    <s v="Praha"/>
    <x v="7"/>
  </r>
  <r>
    <n v="10579"/>
    <d v="2025-08-02T00:00:00"/>
    <n v="718"/>
    <n v="60"/>
    <x v="74"/>
    <x v="0"/>
    <s v="Praha"/>
    <x v="7"/>
  </r>
  <r>
    <n v="10580"/>
    <d v="2025-08-03T00:00:00"/>
    <n v="1121"/>
    <n v="55"/>
    <x v="48"/>
    <x v="0"/>
    <s v="Plzeňský"/>
    <x v="7"/>
  </r>
  <r>
    <n v="10581"/>
    <d v="2025-09-05T00:00:00"/>
    <n v="323.5"/>
    <n v="73"/>
    <x v="35"/>
    <x v="0"/>
    <s v="Středočeský"/>
    <x v="8"/>
  </r>
  <r>
    <n v="10582"/>
    <d v="2025-09-29T00:00:00"/>
    <n v="6573.5"/>
    <n v="27"/>
    <x v="20"/>
    <x v="1"/>
    <s v="Plzeňský"/>
    <x v="8"/>
  </r>
  <r>
    <n v="10583"/>
    <d v="2025-09-29T00:00:00"/>
    <n v="782.75"/>
    <n v="69"/>
    <x v="30"/>
    <x v="0"/>
    <s v="Plzeňský"/>
    <x v="8"/>
  </r>
  <r>
    <n v="10584"/>
    <d v="2025-09-30T00:00:00"/>
    <n v="3835.5"/>
    <n v="8"/>
    <x v="27"/>
    <x v="1"/>
    <s v="Středočeský"/>
    <x v="8"/>
  </r>
  <r>
    <n v="10585"/>
    <d v="2025-09-25T00:00:00"/>
    <n v="2124.75"/>
    <n v="45"/>
    <x v="47"/>
    <x v="0"/>
    <s v="Praha"/>
    <x v="8"/>
  </r>
  <r>
    <n v="10586"/>
    <d v="2025-09-30T00:00:00"/>
    <n v="4013.75"/>
    <n v="30"/>
    <x v="55"/>
    <x v="1"/>
    <s v="Praha"/>
    <x v="8"/>
  </r>
  <r>
    <n v="10587"/>
    <d v="2025-09-20T00:00:00"/>
    <n v="16362.75"/>
    <n v="5"/>
    <x v="5"/>
    <x v="1"/>
    <s v="Plzeňský"/>
    <x v="8"/>
  </r>
  <r>
    <n v="10588"/>
    <d v="2025-09-11T00:00:00"/>
    <n v="10856.5"/>
    <n v="20"/>
    <x v="16"/>
    <x v="1"/>
    <s v="Praha"/>
    <x v="8"/>
  </r>
  <r>
    <n v="10589"/>
    <d v="2025-09-14T00:00:00"/>
    <n v="2284.5"/>
    <n v="33"/>
    <x v="6"/>
    <x v="0"/>
    <s v="Praha"/>
    <x v="8"/>
  </r>
  <r>
    <n v="10590"/>
    <d v="2025-09-24T00:00:00"/>
    <n v="2613.25"/>
    <n v="10"/>
    <x v="49"/>
    <x v="1"/>
    <s v="Plzeňský"/>
    <x v="8"/>
  </r>
  <r>
    <n v="10591"/>
    <d v="2025-09-01T00:00:00"/>
    <n v="15415.75"/>
    <n v="13"/>
    <x v="36"/>
    <x v="1"/>
    <s v="Jihočeský"/>
    <x v="8"/>
  </r>
  <r>
    <n v="10592"/>
    <d v="2025-09-30T00:00:00"/>
    <n v="5961.75"/>
    <n v="2"/>
    <x v="32"/>
    <x v="1"/>
    <s v="Praha"/>
    <x v="8"/>
  </r>
  <r>
    <n v="10593"/>
    <d v="2025-09-03T00:00:00"/>
    <n v="9634.5"/>
    <n v="23"/>
    <x v="73"/>
    <x v="1"/>
    <s v="Praha"/>
    <x v="8"/>
  </r>
  <r>
    <n v="10594"/>
    <d v="2025-09-08T00:00:00"/>
    <n v="13167.5"/>
    <n v="29"/>
    <x v="9"/>
    <x v="1"/>
    <s v="Praha"/>
    <x v="8"/>
  </r>
  <r>
    <n v="10595"/>
    <d v="2025-09-15T00:00:00"/>
    <n v="648.5"/>
    <n v="34"/>
    <x v="10"/>
    <x v="0"/>
    <s v="Praha"/>
    <x v="8"/>
  </r>
  <r>
    <n v="10596"/>
    <d v="2025-09-28T00:00:00"/>
    <n v="1664.5"/>
    <n v="59"/>
    <x v="71"/>
    <x v="0"/>
    <s v="Středočeský"/>
    <x v="8"/>
  </r>
  <r>
    <n v="10597"/>
    <d v="2025-09-17T00:00:00"/>
    <n v="3138.5"/>
    <n v="9"/>
    <x v="42"/>
    <x v="1"/>
    <s v="neznámý"/>
    <x v="8"/>
  </r>
  <r>
    <n v="10598"/>
    <d v="2025-09-02T00:00:00"/>
    <n v="683.75"/>
    <n v="74"/>
    <x v="18"/>
    <x v="0"/>
    <s v="Středočeský"/>
    <x v="8"/>
  </r>
  <r>
    <n v="10599"/>
    <d v="2025-09-23T00:00:00"/>
    <n v="3237.25"/>
    <n v="20"/>
    <x v="16"/>
    <x v="1"/>
    <s v="Praha"/>
    <x v="8"/>
  </r>
  <r>
    <n v="10600"/>
    <d v="2025-09-12T00:00:00"/>
    <n v="15806.75"/>
    <n v="27"/>
    <x v="20"/>
    <x v="1"/>
    <s v="Plzeňský"/>
    <x v="8"/>
  </r>
  <r>
    <n v="10601"/>
    <d v="2025-09-10T00:00:00"/>
    <n v="11241"/>
    <n v="14"/>
    <x v="28"/>
    <x v="1"/>
    <s v="Praha"/>
    <x v="8"/>
  </r>
  <r>
    <n v="10602"/>
    <d v="2025-09-12T00:00:00"/>
    <n v="4808.75"/>
    <n v="7"/>
    <x v="51"/>
    <x v="1"/>
    <s v="Praha"/>
    <x v="8"/>
  </r>
  <r>
    <n v="10603"/>
    <d v="2025-09-21T00:00:00"/>
    <n v="1250.75"/>
    <n v="35"/>
    <x v="26"/>
    <x v="0"/>
    <s v="Praha"/>
    <x v="8"/>
  </r>
  <r>
    <n v="10604"/>
    <d v="2025-09-22T00:00:00"/>
    <n v="16928"/>
    <n v="5"/>
    <x v="5"/>
    <x v="1"/>
    <s v="Plzeňský"/>
    <x v="8"/>
  </r>
  <r>
    <n v="10605"/>
    <d v="2025-09-02T00:00:00"/>
    <n v="2269.25"/>
    <n v="58"/>
    <x v="69"/>
    <x v="0"/>
    <s v="Praha"/>
    <x v="8"/>
  </r>
  <r>
    <n v="10606"/>
    <d v="2025-09-30T00:00:00"/>
    <n v="2004.75"/>
    <n v="40"/>
    <x v="43"/>
    <x v="0"/>
    <s v="Plzeňský"/>
    <x v="8"/>
  </r>
  <r>
    <n v="10607"/>
    <d v="2025-09-13T00:00:00"/>
    <n v="8416.25"/>
    <n v="11"/>
    <x v="17"/>
    <x v="1"/>
    <s v="Plzeňský"/>
    <x v="8"/>
  </r>
  <r>
    <n v="10608"/>
    <d v="2025-09-17T00:00:00"/>
    <n v="873.5"/>
    <n v="45"/>
    <x v="47"/>
    <x v="0"/>
    <s v="Praha"/>
    <x v="8"/>
  </r>
  <r>
    <n v="10609"/>
    <d v="2025-09-30T00:00:00"/>
    <n v="2687.75"/>
    <n v="70"/>
    <x v="72"/>
    <x v="0"/>
    <s v="Jihočeský"/>
    <x v="8"/>
  </r>
  <r>
    <n v="10610"/>
    <d v="2025-09-11T00:00:00"/>
    <n v="1041.25"/>
    <n v="59"/>
    <x v="71"/>
    <x v="0"/>
    <s v="Středočeský"/>
    <x v="8"/>
  </r>
  <r>
    <n v="10611"/>
    <d v="2025-09-04T00:00:00"/>
    <n v="3994.5"/>
    <n v="16"/>
    <x v="7"/>
    <x v="1"/>
    <s v="Praha"/>
    <x v="8"/>
  </r>
  <r>
    <n v="10612"/>
    <d v="2025-09-07T00:00:00"/>
    <n v="4981.25"/>
    <n v="14"/>
    <x v="28"/>
    <x v="1"/>
    <s v="Praha"/>
    <x v="8"/>
  </r>
  <r>
    <n v="10613"/>
    <d v="2025-09-16T00:00:00"/>
    <n v="6524.5"/>
    <n v="27"/>
    <x v="20"/>
    <x v="1"/>
    <s v="Plzeňský"/>
    <x v="8"/>
  </r>
  <r>
    <n v="10614"/>
    <d v="2025-09-22T00:00:00"/>
    <n v="13987.75"/>
    <n v="23"/>
    <x v="73"/>
    <x v="1"/>
    <s v="Praha"/>
    <x v="8"/>
  </r>
  <r>
    <n v="10615"/>
    <d v="2025-09-22T00:00:00"/>
    <n v="4856.75"/>
    <n v="6"/>
    <x v="34"/>
    <x v="1"/>
    <s v="Plzeňský"/>
    <x v="8"/>
  </r>
  <r>
    <n v="10616"/>
    <d v="2025-09-21T00:00:00"/>
    <n v="973.25"/>
    <n v="37"/>
    <x v="3"/>
    <x v="0"/>
    <s v="Jihočeský"/>
    <x v="8"/>
  </r>
  <r>
    <n v="10617"/>
    <d v="2025-09-27T00:00:00"/>
    <n v="5475.25"/>
    <n v="24"/>
    <x v="57"/>
    <x v="1"/>
    <s v="Jihočeský"/>
    <x v="8"/>
  </r>
  <r>
    <n v="10618"/>
    <d v="2025-09-25T00:00:00"/>
    <n v="1491"/>
    <n v="61"/>
    <x v="19"/>
    <x v="0"/>
    <s v="Středočeský"/>
    <x v="8"/>
  </r>
  <r>
    <n v="10619"/>
    <d v="2025-09-04T00:00:00"/>
    <n v="1807.5"/>
    <n v="52"/>
    <x v="46"/>
    <x v="0"/>
    <s v="Jihočeský"/>
    <x v="8"/>
  </r>
  <r>
    <n v="10620"/>
    <d v="2025-09-22T00:00:00"/>
    <n v="10953.25"/>
    <n v="27"/>
    <x v="20"/>
    <x v="1"/>
    <s v="Plzeňský"/>
    <x v="8"/>
  </r>
  <r>
    <n v="10621"/>
    <d v="2025-09-22T00:00:00"/>
    <n v="15456"/>
    <n v="4"/>
    <x v="12"/>
    <x v="1"/>
    <s v="Středočeský"/>
    <x v="8"/>
  </r>
  <r>
    <n v="10622"/>
    <d v="2025-09-20T00:00:00"/>
    <n v="1746.75"/>
    <n v="72"/>
    <x v="61"/>
    <x v="0"/>
    <s v="Jihočeský"/>
    <x v="8"/>
  </r>
  <r>
    <n v="10623"/>
    <d v="2025-09-19T00:00:00"/>
    <n v="17923"/>
    <n v="15"/>
    <x v="37"/>
    <x v="1"/>
    <s v="Praha"/>
    <x v="8"/>
  </r>
  <r>
    <n v="10624"/>
    <d v="2025-09-08T00:00:00"/>
    <n v="2427.75"/>
    <n v="27"/>
    <x v="20"/>
    <x v="1"/>
    <s v="Plzeňský"/>
    <x v="8"/>
  </r>
  <r>
    <n v="10626"/>
    <d v="2025-09-12T00:00:00"/>
    <n v="2761.5"/>
    <n v="34"/>
    <x v="10"/>
    <x v="0"/>
    <s v="Praha"/>
    <x v="8"/>
  </r>
  <r>
    <n v="10627"/>
    <d v="2025-09-18T00:00:00"/>
    <n v="2605"/>
    <n v="53"/>
    <x v="67"/>
    <x v="0"/>
    <s v="Středočeský"/>
    <x v="8"/>
  </r>
  <r>
    <n v="10628"/>
    <d v="2025-09-22T00:00:00"/>
    <n v="3468.25"/>
    <n v="25"/>
    <x v="52"/>
    <x v="1"/>
    <s v="Praha"/>
    <x v="8"/>
  </r>
  <r>
    <n v="10629"/>
    <d v="2025-09-16T00:00:00"/>
    <n v="1636.75"/>
    <n v="63"/>
    <x v="41"/>
    <x v="0"/>
    <s v="Praha"/>
    <x v="8"/>
  </r>
  <r>
    <n v="10630"/>
    <d v="2025-09-14T00:00:00"/>
    <n v="742.75"/>
    <n v="52"/>
    <x v="46"/>
    <x v="0"/>
    <s v="Jihočeský"/>
    <x v="8"/>
  </r>
  <r>
    <n v="10631"/>
    <d v="2025-09-25T00:00:00"/>
    <n v="2295.5"/>
    <n v="57"/>
    <x v="1"/>
    <x v="0"/>
    <s v="Jihočeský"/>
    <x v="8"/>
  </r>
  <r>
    <n v="10632"/>
    <d v="2025-09-01T00:00:00"/>
    <n v="464"/>
    <n v="46"/>
    <x v="4"/>
    <x v="0"/>
    <s v="Středočeský"/>
    <x v="8"/>
  </r>
  <r>
    <n v="10633"/>
    <d v="2025-09-23T00:00:00"/>
    <n v="1072.5"/>
    <n v="47"/>
    <x v="53"/>
    <x v="0"/>
    <s v="Plzeňský"/>
    <x v="8"/>
  </r>
  <r>
    <n v="10634"/>
    <d v="2025-09-01T00:00:00"/>
    <n v="2431.25"/>
    <n v="62"/>
    <x v="14"/>
    <x v="0"/>
    <s v="Praha"/>
    <x v="8"/>
  </r>
  <r>
    <n v="10635"/>
    <d v="2025-09-06T00:00:00"/>
    <n v="2364.25"/>
    <n v="43"/>
    <x v="75"/>
    <x v="0"/>
    <s v="Plzeňský"/>
    <x v="8"/>
  </r>
  <r>
    <n v="10636"/>
    <d v="2025-09-15T00:00:00"/>
    <n v="2370.25"/>
    <n v="44"/>
    <x v="63"/>
    <x v="0"/>
    <s v="neznámý"/>
    <x v="8"/>
  </r>
  <r>
    <n v="10637"/>
    <d v="2025-09-16T00:00:00"/>
    <n v="1708.75"/>
    <n v="51"/>
    <x v="22"/>
    <x v="0"/>
    <s v="Plzeňský"/>
    <x v="8"/>
  </r>
  <r>
    <n v="10638"/>
    <d v="2025-09-20T00:00:00"/>
    <n v="3002.25"/>
    <n v="7"/>
    <x v="51"/>
    <x v="1"/>
    <s v="Praha"/>
    <x v="8"/>
  </r>
  <r>
    <n v="10639"/>
    <d v="2025-09-17T00:00:00"/>
    <n v="1185.5"/>
    <n v="42"/>
    <x v="0"/>
    <x v="0"/>
    <s v="Praha"/>
    <x v="8"/>
  </r>
  <r>
    <n v="10640"/>
    <d v="2025-09-29T00:00:00"/>
    <n v="418"/>
    <n v="32"/>
    <x v="50"/>
    <x v="0"/>
    <s v="Jihočeský"/>
    <x v="8"/>
  </r>
  <r>
    <n v="10641"/>
    <d v="2025-09-10T00:00:00"/>
    <n v="1944.75"/>
    <n v="51"/>
    <x v="22"/>
    <x v="0"/>
    <s v="Plzeňský"/>
    <x v="8"/>
  </r>
  <r>
    <n v="10642"/>
    <d v="2025-09-05T00:00:00"/>
    <n v="2072.5"/>
    <n v="56"/>
    <x v="29"/>
    <x v="0"/>
    <s v="Praha"/>
    <x v="8"/>
  </r>
  <r>
    <n v="10643"/>
    <d v="2025-09-22T00:00:00"/>
    <n v="15234.5"/>
    <n v="7"/>
    <x v="51"/>
    <x v="1"/>
    <s v="Praha"/>
    <x v="8"/>
  </r>
  <r>
    <n v="10644"/>
    <d v="2025-09-22T00:00:00"/>
    <n v="2226.5"/>
    <n v="12"/>
    <x v="60"/>
    <x v="1"/>
    <s v="Středočeský"/>
    <x v="8"/>
  </r>
  <r>
    <n v="10645"/>
    <d v="2025-09-24T00:00:00"/>
    <n v="16668.75"/>
    <n v="9"/>
    <x v="42"/>
    <x v="1"/>
    <s v="neznámý"/>
    <x v="8"/>
  </r>
  <r>
    <n v="10646"/>
    <d v="2025-09-24T00:00:00"/>
    <n v="901"/>
    <n v="55"/>
    <x v="48"/>
    <x v="0"/>
    <s v="Plzeňský"/>
    <x v="8"/>
  </r>
  <r>
    <n v="10647"/>
    <d v="2025-09-28T00:00:00"/>
    <n v="587.75"/>
    <n v="47"/>
    <x v="53"/>
    <x v="0"/>
    <s v="Plzeňský"/>
    <x v="8"/>
  </r>
  <r>
    <n v="10648"/>
    <d v="2025-09-22T00:00:00"/>
    <n v="16550"/>
    <n v="29"/>
    <x v="9"/>
    <x v="1"/>
    <s v="Praha"/>
    <x v="8"/>
  </r>
  <r>
    <n v="10649"/>
    <d v="2025-09-25T00:00:00"/>
    <n v="1810.75"/>
    <n v="29"/>
    <x v="9"/>
    <x v="1"/>
    <s v="Praha"/>
    <x v="8"/>
  </r>
  <r>
    <n v="10650"/>
    <d v="2025-09-01T00:00:00"/>
    <n v="12657.25"/>
    <n v="5"/>
    <x v="5"/>
    <x v="1"/>
    <s v="Plzeňský"/>
    <x v="8"/>
  </r>
  <r>
    <n v="10651"/>
    <d v="2025-09-25T00:00:00"/>
    <n v="1726.5"/>
    <n v="48"/>
    <x v="59"/>
    <x v="0"/>
    <s v="Středočeský"/>
    <x v="8"/>
  </r>
  <r>
    <n v="10652"/>
    <d v="2025-09-18T00:00:00"/>
    <n v="5814"/>
    <n v="15"/>
    <x v="37"/>
    <x v="1"/>
    <s v="Praha"/>
    <x v="8"/>
  </r>
  <r>
    <n v="10653"/>
    <d v="2025-09-06T00:00:00"/>
    <n v="5632"/>
    <n v="12"/>
    <x v="60"/>
    <x v="1"/>
    <s v="Středočeský"/>
    <x v="8"/>
  </r>
  <r>
    <n v="10654"/>
    <d v="2025-09-18T00:00:00"/>
    <n v="2768.5"/>
    <n v="32"/>
    <x v="50"/>
    <x v="0"/>
    <s v="Jihočeský"/>
    <x v="8"/>
  </r>
  <r>
    <n v="10655"/>
    <d v="2025-09-03T00:00:00"/>
    <n v="1413.75"/>
    <n v="52"/>
    <x v="46"/>
    <x v="0"/>
    <s v="Jihočeský"/>
    <x v="8"/>
  </r>
  <r>
    <n v="10656"/>
    <d v="2025-09-18T00:00:00"/>
    <n v="329"/>
    <n v="74"/>
    <x v="18"/>
    <x v="0"/>
    <s v="Středočeský"/>
    <x v="8"/>
  </r>
  <r>
    <n v="10657"/>
    <d v="2025-09-26T00:00:00"/>
    <n v="14911.5"/>
    <n v="10"/>
    <x v="49"/>
    <x v="1"/>
    <s v="Plzeňský"/>
    <x v="8"/>
  </r>
  <r>
    <n v="10658"/>
    <d v="2025-09-08T00:00:00"/>
    <n v="1225.75"/>
    <n v="60"/>
    <x v="74"/>
    <x v="0"/>
    <s v="Praha"/>
    <x v="8"/>
  </r>
  <r>
    <n v="10659"/>
    <d v="2025-09-17T00:00:00"/>
    <n v="6915.5"/>
    <n v="11"/>
    <x v="17"/>
    <x v="1"/>
    <s v="Plzeňský"/>
    <x v="8"/>
  </r>
  <r>
    <n v="10660"/>
    <d v="2025-09-17T00:00:00"/>
    <n v="17746.75"/>
    <n v="19"/>
    <x v="24"/>
    <x v="1"/>
    <s v="Praha"/>
    <x v="8"/>
  </r>
  <r>
    <n v="10661"/>
    <d v="2025-09-18T00:00:00"/>
    <n v="1864"/>
    <n v="31"/>
    <x v="62"/>
    <x v="0"/>
    <s v="Středočeský"/>
    <x v="8"/>
  </r>
  <r>
    <n v="10662"/>
    <d v="2025-09-10T00:00:00"/>
    <n v="2224"/>
    <n v="40"/>
    <x v="43"/>
    <x v="0"/>
    <s v="Plzeňský"/>
    <x v="8"/>
  </r>
  <r>
    <n v="10663"/>
    <d v="2025-09-05T00:00:00"/>
    <n v="12931.5"/>
    <n v="24"/>
    <x v="57"/>
    <x v="1"/>
    <s v="Jihočeský"/>
    <x v="8"/>
  </r>
  <r>
    <n v="10664"/>
    <d v="2025-09-09T00:00:00"/>
    <n v="524.5"/>
    <n v="51"/>
    <x v="22"/>
    <x v="0"/>
    <s v="Plzeňský"/>
    <x v="8"/>
  </r>
  <r>
    <n v="10665"/>
    <d v="2025-09-28T00:00:00"/>
    <n v="1779.5"/>
    <n v="75"/>
    <x v="70"/>
    <x v="0"/>
    <s v="Plzeňský"/>
    <x v="8"/>
  </r>
  <r>
    <n v="10666"/>
    <d v="2025-09-04T00:00:00"/>
    <n v="1301.75"/>
    <n v="36"/>
    <x v="68"/>
    <x v="0"/>
    <s v="Středočeský"/>
    <x v="8"/>
  </r>
  <r>
    <n v="10667"/>
    <d v="2025-09-01T00:00:00"/>
    <n v="1892.5"/>
    <n v="60"/>
    <x v="74"/>
    <x v="0"/>
    <s v="Praha"/>
    <x v="8"/>
  </r>
  <r>
    <n v="10668"/>
    <d v="2025-09-28T00:00:00"/>
    <n v="1954"/>
    <n v="36"/>
    <x v="68"/>
    <x v="0"/>
    <s v="Středočeský"/>
    <x v="8"/>
  </r>
  <r>
    <n v="10669"/>
    <d v="2025-09-08T00:00:00"/>
    <n v="2748"/>
    <n v="61"/>
    <x v="19"/>
    <x v="0"/>
    <s v="Středočeský"/>
    <x v="8"/>
  </r>
  <r>
    <n v="10670"/>
    <d v="2025-09-28T00:00:00"/>
    <n v="2700.5"/>
    <n v="59"/>
    <x v="71"/>
    <x v="0"/>
    <s v="Středočeský"/>
    <x v="8"/>
  </r>
  <r>
    <n v="10671"/>
    <d v="2025-09-27T00:00:00"/>
    <n v="10533.25"/>
    <n v="27"/>
    <x v="20"/>
    <x v="1"/>
    <s v="Plzeňský"/>
    <x v="8"/>
  </r>
  <r>
    <n v="10672"/>
    <d v="2025-09-25T00:00:00"/>
    <n v="809"/>
    <n v="72"/>
    <x v="61"/>
    <x v="0"/>
    <s v="Jihočeský"/>
    <x v="8"/>
  </r>
  <r>
    <n v="10673"/>
    <d v="2025-09-18T00:00:00"/>
    <n v="473.25"/>
    <n v="45"/>
    <x v="47"/>
    <x v="0"/>
    <s v="Praha"/>
    <x v="8"/>
  </r>
  <r>
    <n v="10674"/>
    <d v="2025-10-13T00:00:00"/>
    <n v="508"/>
    <n v="40"/>
    <x v="43"/>
    <x v="0"/>
    <s v="Plzeňský"/>
    <x v="9"/>
  </r>
  <r>
    <n v="10675"/>
    <d v="2025-10-19T00:00:00"/>
    <n v="2800.75"/>
    <n v="37"/>
    <x v="3"/>
    <x v="0"/>
    <s v="Jihočeský"/>
    <x v="9"/>
  </r>
  <r>
    <n v="10676"/>
    <d v="2025-10-08T00:00:00"/>
    <n v="2150.25"/>
    <n v="33"/>
    <x v="6"/>
    <x v="0"/>
    <s v="Praha"/>
    <x v="9"/>
  </r>
  <r>
    <n v="10677"/>
    <d v="2025-10-18T00:00:00"/>
    <n v="13570.5"/>
    <n v="13"/>
    <x v="36"/>
    <x v="1"/>
    <s v="Jihočeský"/>
    <x v="9"/>
  </r>
  <r>
    <n v="10678"/>
    <d v="2025-10-09T00:00:00"/>
    <n v="17445.5"/>
    <n v="4"/>
    <x v="12"/>
    <x v="1"/>
    <s v="Středočeský"/>
    <x v="9"/>
  </r>
  <r>
    <n v="10679"/>
    <d v="2025-10-15T00:00:00"/>
    <n v="2511.25"/>
    <n v="73"/>
    <x v="35"/>
    <x v="0"/>
    <s v="Středočeský"/>
    <x v="9"/>
  </r>
  <r>
    <n v="10680"/>
    <d v="2025-10-05T00:00:00"/>
    <n v="1378.5"/>
    <n v="42"/>
    <x v="0"/>
    <x v="0"/>
    <s v="Praha"/>
    <x v="9"/>
  </r>
  <r>
    <n v="10681"/>
    <d v="2025-10-17T00:00:00"/>
    <n v="9169"/>
    <n v="2"/>
    <x v="32"/>
    <x v="1"/>
    <s v="Praha"/>
    <x v="9"/>
  </r>
  <r>
    <n v="10682"/>
    <d v="2025-10-29T00:00:00"/>
    <n v="351.25"/>
    <n v="34"/>
    <x v="10"/>
    <x v="0"/>
    <s v="Praha"/>
    <x v="9"/>
  </r>
  <r>
    <n v="10683"/>
    <d v="2025-10-31T00:00:00"/>
    <n v="2153.75"/>
    <n v="54"/>
    <x v="39"/>
    <x v="0"/>
    <s v="Jihočeský"/>
    <x v="9"/>
  </r>
  <r>
    <n v="10684"/>
    <d v="2025-10-13T00:00:00"/>
    <n v="12720.75"/>
    <n v="1"/>
    <x v="40"/>
    <x v="1"/>
    <s v="Plzeňský"/>
    <x v="9"/>
  </r>
  <r>
    <n v="10685"/>
    <d v="2025-10-08T00:00:00"/>
    <n v="840"/>
    <n v="75"/>
    <x v="70"/>
    <x v="0"/>
    <s v="Plzeňský"/>
    <x v="9"/>
  </r>
  <r>
    <n v="10686"/>
    <d v="2025-10-24T00:00:00"/>
    <n v="16339.5"/>
    <n v="12"/>
    <x v="60"/>
    <x v="1"/>
    <s v="Středočeský"/>
    <x v="9"/>
  </r>
  <r>
    <n v="10687"/>
    <d v="2025-10-28T00:00:00"/>
    <n v="8965"/>
    <n v="30"/>
    <x v="55"/>
    <x v="1"/>
    <s v="Praha"/>
    <x v="9"/>
  </r>
  <r>
    <n v="10688"/>
    <d v="2025-10-11T00:00:00"/>
    <n v="10854"/>
    <n v="4"/>
    <x v="12"/>
    <x v="1"/>
    <s v="Středočeský"/>
    <x v="9"/>
  </r>
  <r>
    <n v="10689"/>
    <d v="2025-10-29T00:00:00"/>
    <n v="1236.75"/>
    <n v="58"/>
    <x v="69"/>
    <x v="0"/>
    <s v="Praha"/>
    <x v="9"/>
  </r>
  <r>
    <n v="10690"/>
    <d v="2025-10-30T00:00:00"/>
    <n v="462.5"/>
    <n v="59"/>
    <x v="71"/>
    <x v="0"/>
    <s v="Středočeský"/>
    <x v="9"/>
  </r>
  <r>
    <n v="10691"/>
    <d v="2025-10-15T00:00:00"/>
    <n v="2020.5"/>
    <n v="60"/>
    <x v="74"/>
    <x v="0"/>
    <s v="Praha"/>
    <x v="9"/>
  </r>
  <r>
    <n v="10692"/>
    <d v="2025-10-06T00:00:00"/>
    <n v="10962"/>
    <n v="14"/>
    <x v="28"/>
    <x v="1"/>
    <s v="Praha"/>
    <x v="9"/>
  </r>
  <r>
    <n v="10693"/>
    <d v="2025-10-13T00:00:00"/>
    <n v="1398.75"/>
    <n v="32"/>
    <x v="50"/>
    <x v="0"/>
    <s v="Jihočeský"/>
    <x v="9"/>
  </r>
  <r>
    <n v="10694"/>
    <d v="2025-10-22T00:00:00"/>
    <n v="14801.5"/>
    <n v="5"/>
    <x v="5"/>
    <x v="1"/>
    <s v="Plzeňský"/>
    <x v="9"/>
  </r>
  <r>
    <n v="10695"/>
    <d v="2025-10-31T00:00:00"/>
    <n v="2395.5"/>
    <n v="64"/>
    <x v="31"/>
    <x v="0"/>
    <s v="Jihočeský"/>
    <x v="9"/>
  </r>
  <r>
    <n v="10696"/>
    <d v="2025-10-09T00:00:00"/>
    <n v="16286.25"/>
    <n v="30"/>
    <x v="55"/>
    <x v="1"/>
    <s v="Praha"/>
    <x v="9"/>
  </r>
  <r>
    <n v="10697"/>
    <d v="2025-10-09T00:00:00"/>
    <n v="966.25"/>
    <n v="67"/>
    <x v="21"/>
    <x v="0"/>
    <s v="Praha"/>
    <x v="9"/>
  </r>
  <r>
    <n v="10698"/>
    <d v="2025-10-28T00:00:00"/>
    <n v="10526.25"/>
    <n v="2"/>
    <x v="32"/>
    <x v="1"/>
    <s v="Praha"/>
    <x v="9"/>
  </r>
  <r>
    <n v="10699"/>
    <d v="2025-10-30T00:00:00"/>
    <n v="1421.25"/>
    <n v="60"/>
    <x v="74"/>
    <x v="0"/>
    <s v="Praha"/>
    <x v="9"/>
  </r>
  <r>
    <n v="10700"/>
    <d v="2025-10-12T00:00:00"/>
    <n v="5419.5"/>
    <n v="22"/>
    <x v="45"/>
    <x v="1"/>
    <s v="Praha"/>
    <x v="9"/>
  </r>
  <r>
    <n v="10701"/>
    <d v="2025-10-08T00:00:00"/>
    <n v="1139.25"/>
    <n v="51"/>
    <x v="22"/>
    <x v="0"/>
    <s v="Plzeňský"/>
    <x v="9"/>
  </r>
  <r>
    <n v="10702"/>
    <d v="2025-10-23T00:00:00"/>
    <n v="4355.75"/>
    <n v="23"/>
    <x v="73"/>
    <x v="1"/>
    <s v="Praha"/>
    <x v="9"/>
  </r>
  <r>
    <n v="10704"/>
    <d v="2025-10-23T00:00:00"/>
    <n v="8264.25"/>
    <n v="24"/>
    <x v="57"/>
    <x v="1"/>
    <s v="Jihočeský"/>
    <x v="9"/>
  </r>
  <r>
    <n v="10705"/>
    <d v="2025-10-21T00:00:00"/>
    <n v="10493"/>
    <n v="4"/>
    <x v="12"/>
    <x v="1"/>
    <s v="Středočeský"/>
    <x v="9"/>
  </r>
  <r>
    <n v="10706"/>
    <d v="2025-10-05T00:00:00"/>
    <n v="645"/>
    <n v="40"/>
    <x v="43"/>
    <x v="0"/>
    <s v="Plzeňský"/>
    <x v="9"/>
  </r>
  <r>
    <n v="10707"/>
    <d v="2025-10-13T00:00:00"/>
    <n v="1461.5"/>
    <n v="47"/>
    <x v="53"/>
    <x v="0"/>
    <s v="Plzeňský"/>
    <x v="9"/>
  </r>
  <r>
    <n v="10708"/>
    <d v="2025-10-17T00:00:00"/>
    <n v="11625.5"/>
    <n v="16"/>
    <x v="7"/>
    <x v="1"/>
    <s v="Praha"/>
    <x v="9"/>
  </r>
  <r>
    <n v="10709"/>
    <d v="2025-10-27T00:00:00"/>
    <n v="2556"/>
    <n v="62"/>
    <x v="14"/>
    <x v="0"/>
    <s v="Praha"/>
    <x v="9"/>
  </r>
  <r>
    <n v="10710"/>
    <d v="2025-10-19T00:00:00"/>
    <n v="10255"/>
    <n v="4"/>
    <x v="12"/>
    <x v="1"/>
    <s v="Středočeský"/>
    <x v="9"/>
  </r>
  <r>
    <n v="10711"/>
    <d v="2025-10-26T00:00:00"/>
    <n v="9652"/>
    <n v="29"/>
    <x v="9"/>
    <x v="1"/>
    <s v="Praha"/>
    <x v="9"/>
  </r>
  <r>
    <n v="10712"/>
    <d v="2025-10-11T00:00:00"/>
    <n v="7246"/>
    <n v="3"/>
    <x v="13"/>
    <x v="1"/>
    <s v="Jihočeský"/>
    <x v="9"/>
  </r>
  <r>
    <n v="10713"/>
    <d v="2025-10-23T00:00:00"/>
    <n v="2721.5"/>
    <n v="72"/>
    <x v="61"/>
    <x v="0"/>
    <s v="Jihočeský"/>
    <x v="9"/>
  </r>
  <r>
    <n v="10714"/>
    <d v="2025-10-25T00:00:00"/>
    <n v="16938.5"/>
    <n v="22"/>
    <x v="45"/>
    <x v="1"/>
    <s v="Praha"/>
    <x v="9"/>
  </r>
  <r>
    <n v="10715"/>
    <d v="2025-10-09T00:00:00"/>
    <n v="7452.5"/>
    <n v="25"/>
    <x v="52"/>
    <x v="1"/>
    <s v="Praha"/>
    <x v="9"/>
  </r>
  <r>
    <n v="10716"/>
    <d v="2025-10-20T00:00:00"/>
    <n v="2044.75"/>
    <n v="74"/>
    <x v="18"/>
    <x v="0"/>
    <s v="Středočeský"/>
    <x v="9"/>
  </r>
  <r>
    <n v="10717"/>
    <d v="2025-10-19T00:00:00"/>
    <n v="2595.25"/>
    <n v="39"/>
    <x v="11"/>
    <x v="0"/>
    <s v="Plzeňský"/>
    <x v="9"/>
  </r>
  <r>
    <n v="10718"/>
    <d v="2025-10-13T00:00:00"/>
    <n v="2437.75"/>
    <n v="65"/>
    <x v="54"/>
    <x v="0"/>
    <s v="Plzeňský"/>
    <x v="9"/>
  </r>
  <r>
    <n v="10719"/>
    <d v="2025-10-10T00:00:00"/>
    <n v="3212"/>
    <n v="27"/>
    <x v="20"/>
    <x v="1"/>
    <s v="Plzeňský"/>
    <x v="9"/>
  </r>
  <r>
    <n v="10720"/>
    <d v="2025-10-16T00:00:00"/>
    <n v="786"/>
    <n v="34"/>
    <x v="10"/>
    <x v="0"/>
    <s v="Praha"/>
    <x v="9"/>
  </r>
  <r>
    <n v="10721"/>
    <d v="2025-10-03T00:00:00"/>
    <n v="16461.25"/>
    <n v="1"/>
    <x v="40"/>
    <x v="1"/>
    <s v="Plzeňský"/>
    <x v="9"/>
  </r>
  <r>
    <n v="10722"/>
    <d v="2025-10-20T00:00:00"/>
    <n v="6216.75"/>
    <n v="16"/>
    <x v="7"/>
    <x v="1"/>
    <s v="Praha"/>
    <x v="9"/>
  </r>
  <r>
    <n v="10723"/>
    <d v="2025-10-05T00:00:00"/>
    <n v="2479"/>
    <n v="46"/>
    <x v="4"/>
    <x v="0"/>
    <s v="Středočeský"/>
    <x v="9"/>
  </r>
  <r>
    <n v="10724"/>
    <d v="2025-10-04T00:00:00"/>
    <n v="2188.5"/>
    <n v="45"/>
    <x v="47"/>
    <x v="0"/>
    <s v="Praha"/>
    <x v="9"/>
  </r>
  <r>
    <n v="10725"/>
    <d v="2025-10-20T00:00:00"/>
    <n v="648.5"/>
    <n v="68"/>
    <x v="66"/>
    <x v="0"/>
    <s v="neznámý"/>
    <x v="9"/>
  </r>
  <r>
    <n v="10726"/>
    <d v="2025-10-19T00:00:00"/>
    <n v="1501"/>
    <n v="45"/>
    <x v="47"/>
    <x v="0"/>
    <s v="Praha"/>
    <x v="9"/>
  </r>
  <r>
    <n v="10727"/>
    <d v="2025-10-06T00:00:00"/>
    <n v="11748.75"/>
    <n v="2"/>
    <x v="32"/>
    <x v="1"/>
    <s v="Praha"/>
    <x v="9"/>
  </r>
  <r>
    <n v="10728"/>
    <d v="2025-10-11T00:00:00"/>
    <n v="3095.75"/>
    <n v="21"/>
    <x v="23"/>
    <x v="1"/>
    <s v="Středočeský"/>
    <x v="9"/>
  </r>
  <r>
    <n v="10729"/>
    <d v="2025-10-01T00:00:00"/>
    <n v="411.75"/>
    <n v="31"/>
    <x v="62"/>
    <x v="0"/>
    <s v="Středočeský"/>
    <x v="9"/>
  </r>
  <r>
    <n v="10730"/>
    <d v="2025-10-04T00:00:00"/>
    <n v="1843.75"/>
    <n v="60"/>
    <x v="74"/>
    <x v="0"/>
    <s v="Praha"/>
    <x v="9"/>
  </r>
  <r>
    <n v="10731"/>
    <d v="2025-10-12T00:00:00"/>
    <n v="1589.25"/>
    <n v="63"/>
    <x v="41"/>
    <x v="0"/>
    <s v="Praha"/>
    <x v="9"/>
  </r>
  <r>
    <n v="10732"/>
    <d v="2025-10-13T00:00:00"/>
    <n v="1601.75"/>
    <n v="54"/>
    <x v="39"/>
    <x v="0"/>
    <s v="Jihočeský"/>
    <x v="9"/>
  </r>
  <r>
    <n v="10733"/>
    <d v="2025-10-18T00:00:00"/>
    <n v="1660"/>
    <n v="36"/>
    <x v="68"/>
    <x v="0"/>
    <s v="Středočeský"/>
    <x v="9"/>
  </r>
  <r>
    <n v="10734"/>
    <d v="2025-10-13T00:00:00"/>
    <n v="17920.25"/>
    <n v="28"/>
    <x v="64"/>
    <x v="1"/>
    <s v="Jihočeský"/>
    <x v="9"/>
  </r>
  <r>
    <n v="10735"/>
    <d v="2025-10-26T00:00:00"/>
    <n v="2668"/>
    <n v="46"/>
    <x v="4"/>
    <x v="0"/>
    <s v="Středočeský"/>
    <x v="9"/>
  </r>
  <r>
    <n v="10736"/>
    <d v="2025-10-25T00:00:00"/>
    <n v="672.5"/>
    <n v="59"/>
    <x v="71"/>
    <x v="0"/>
    <s v="Středočeský"/>
    <x v="9"/>
  </r>
  <r>
    <n v="10737"/>
    <d v="2025-10-31T00:00:00"/>
    <n v="697.5"/>
    <n v="69"/>
    <x v="30"/>
    <x v="0"/>
    <s v="Plzeňský"/>
    <x v="9"/>
  </r>
  <r>
    <n v="10738"/>
    <d v="2025-10-02T00:00:00"/>
    <n v="1418.25"/>
    <n v="35"/>
    <x v="26"/>
    <x v="0"/>
    <s v="Praha"/>
    <x v="9"/>
  </r>
  <r>
    <n v="10739"/>
    <d v="2025-10-06T00:00:00"/>
    <n v="16122.25"/>
    <n v="28"/>
    <x v="64"/>
    <x v="1"/>
    <s v="Jihočeský"/>
    <x v="9"/>
  </r>
  <r>
    <n v="10740"/>
    <d v="2025-10-18T00:00:00"/>
    <n v="2250"/>
    <n v="70"/>
    <x v="72"/>
    <x v="0"/>
    <s v="Jihočeský"/>
    <x v="9"/>
  </r>
  <r>
    <n v="10741"/>
    <d v="2025-10-10T00:00:00"/>
    <n v="3935.25"/>
    <n v="7"/>
    <x v="51"/>
    <x v="1"/>
    <s v="Praha"/>
    <x v="9"/>
  </r>
  <r>
    <n v="10742"/>
    <d v="2025-10-02T00:00:00"/>
    <n v="2000.25"/>
    <n v="39"/>
    <x v="11"/>
    <x v="0"/>
    <s v="Plzeňský"/>
    <x v="9"/>
  </r>
  <r>
    <n v="10743"/>
    <d v="2025-10-19T00:00:00"/>
    <n v="1742.25"/>
    <n v="32"/>
    <x v="50"/>
    <x v="0"/>
    <s v="Jihočeský"/>
    <x v="9"/>
  </r>
  <r>
    <n v="10744"/>
    <d v="2025-10-01T00:00:00"/>
    <n v="14268.5"/>
    <n v="18"/>
    <x v="56"/>
    <x v="1"/>
    <s v="Praha"/>
    <x v="9"/>
  </r>
  <r>
    <n v="10745"/>
    <d v="2025-10-28T00:00:00"/>
    <n v="12840.75"/>
    <n v="27"/>
    <x v="20"/>
    <x v="1"/>
    <s v="Plzeňský"/>
    <x v="9"/>
  </r>
  <r>
    <n v="10746"/>
    <d v="2025-10-20T00:00:00"/>
    <n v="17679.75"/>
    <n v="19"/>
    <x v="24"/>
    <x v="1"/>
    <s v="Praha"/>
    <x v="9"/>
  </r>
  <r>
    <n v="10747"/>
    <d v="2025-10-04T00:00:00"/>
    <n v="7833.25"/>
    <n v="16"/>
    <x v="7"/>
    <x v="1"/>
    <s v="Praha"/>
    <x v="9"/>
  </r>
  <r>
    <n v="10748"/>
    <d v="2025-10-13T00:00:00"/>
    <n v="2207.5"/>
    <n v="13"/>
    <x v="36"/>
    <x v="1"/>
    <s v="Jihočeský"/>
    <x v="9"/>
  </r>
  <r>
    <n v="10749"/>
    <d v="2025-10-24T00:00:00"/>
    <n v="2518"/>
    <n v="49"/>
    <x v="15"/>
    <x v="0"/>
    <s v="Plzeňský"/>
    <x v="9"/>
  </r>
  <r>
    <n v="10750"/>
    <d v="2025-10-15T00:00:00"/>
    <n v="15205"/>
    <n v="28"/>
    <x v="64"/>
    <x v="1"/>
    <s v="Jihočeský"/>
    <x v="9"/>
  </r>
  <r>
    <n v="10751"/>
    <d v="2025-10-29T00:00:00"/>
    <n v="2589.25"/>
    <n v="70"/>
    <x v="72"/>
    <x v="0"/>
    <s v="Jihočeský"/>
    <x v="9"/>
  </r>
  <r>
    <n v="10752"/>
    <d v="2025-10-02T00:00:00"/>
    <n v="7275.25"/>
    <n v="2"/>
    <x v="32"/>
    <x v="1"/>
    <s v="Praha"/>
    <x v="9"/>
  </r>
  <r>
    <n v="10753"/>
    <d v="2025-10-07T00:00:00"/>
    <n v="1339.5"/>
    <n v="42"/>
    <x v="0"/>
    <x v="0"/>
    <s v="Praha"/>
    <x v="9"/>
  </r>
  <r>
    <n v="10754"/>
    <d v="2025-10-27T00:00:00"/>
    <n v="1037.75"/>
    <n v="52"/>
    <x v="46"/>
    <x v="0"/>
    <s v="Jihočeský"/>
    <x v="9"/>
  </r>
  <r>
    <n v="10755"/>
    <d v="2025-10-04T00:00:00"/>
    <n v="6354.75"/>
    <n v="9"/>
    <x v="42"/>
    <x v="1"/>
    <s v="neznámý"/>
    <x v="9"/>
  </r>
  <r>
    <n v="10756"/>
    <d v="2025-10-01T00:00:00"/>
    <n v="1730.25"/>
    <n v="33"/>
    <x v="6"/>
    <x v="0"/>
    <s v="Praha"/>
    <x v="9"/>
  </r>
  <r>
    <n v="10757"/>
    <d v="2025-10-30T00:00:00"/>
    <n v="4765.5"/>
    <n v="19"/>
    <x v="24"/>
    <x v="1"/>
    <s v="Praha"/>
    <x v="9"/>
  </r>
  <r>
    <n v="10758"/>
    <d v="2025-10-26T00:00:00"/>
    <n v="1283"/>
    <n v="42"/>
    <x v="0"/>
    <x v="0"/>
    <s v="Praha"/>
    <x v="9"/>
  </r>
  <r>
    <n v="10759"/>
    <d v="2025-10-12T00:00:00"/>
    <n v="17209.5"/>
    <n v="3"/>
    <x v="13"/>
    <x v="1"/>
    <s v="Jihočeský"/>
    <x v="9"/>
  </r>
  <r>
    <n v="10760"/>
    <d v="2025-10-27T00:00:00"/>
    <n v="8860.75"/>
    <n v="29"/>
    <x v="9"/>
    <x v="1"/>
    <s v="Praha"/>
    <x v="9"/>
  </r>
  <r>
    <n v="10761"/>
    <d v="2025-10-26T00:00:00"/>
    <n v="738"/>
    <n v="62"/>
    <x v="14"/>
    <x v="0"/>
    <s v="Praha"/>
    <x v="9"/>
  </r>
  <r>
    <n v="10762"/>
    <d v="2025-10-08T00:00:00"/>
    <n v="1065"/>
    <n v="58"/>
    <x v="69"/>
    <x v="0"/>
    <s v="Praha"/>
    <x v="9"/>
  </r>
  <r>
    <n v="10763"/>
    <d v="2025-10-14T00:00:00"/>
    <n v="17569"/>
    <n v="3"/>
    <x v="13"/>
    <x v="1"/>
    <s v="Jihočeský"/>
    <x v="9"/>
  </r>
  <r>
    <n v="10764"/>
    <d v="2025-10-11T00:00:00"/>
    <n v="10422.75"/>
    <n v="20"/>
    <x v="16"/>
    <x v="1"/>
    <s v="Praha"/>
    <x v="9"/>
  </r>
  <r>
    <n v="10765"/>
    <d v="2025-10-11T00:00:00"/>
    <n v="15126.5"/>
    <n v="4"/>
    <x v="12"/>
    <x v="1"/>
    <s v="Středočeský"/>
    <x v="9"/>
  </r>
  <r>
    <n v="10766"/>
    <d v="2025-10-29T00:00:00"/>
    <n v="315.25"/>
    <n v="60"/>
    <x v="74"/>
    <x v="0"/>
    <s v="Praha"/>
    <x v="9"/>
  </r>
  <r>
    <n v="10767"/>
    <d v="2025-10-19T00:00:00"/>
    <n v="17739.5"/>
    <n v="24"/>
    <x v="57"/>
    <x v="1"/>
    <s v="Jihočeský"/>
    <x v="9"/>
  </r>
  <r>
    <n v="10768"/>
    <d v="2025-10-17T00:00:00"/>
    <n v="11582.25"/>
    <n v="12"/>
    <x v="60"/>
    <x v="1"/>
    <s v="Středočeský"/>
    <x v="9"/>
  </r>
  <r>
    <n v="10769"/>
    <d v="2025-10-28T00:00:00"/>
    <n v="2460.75"/>
    <n v="40"/>
    <x v="43"/>
    <x v="0"/>
    <s v="Plzeňský"/>
    <x v="9"/>
  </r>
  <r>
    <n v="10770"/>
    <d v="2025-10-20T00:00:00"/>
    <n v="4940.25"/>
    <n v="29"/>
    <x v="9"/>
    <x v="1"/>
    <s v="Praha"/>
    <x v="9"/>
  </r>
  <r>
    <n v="10771"/>
    <d v="2025-10-06T00:00:00"/>
    <n v="11270.5"/>
    <n v="26"/>
    <x v="33"/>
    <x v="1"/>
    <s v="Jihočeský"/>
    <x v="9"/>
  </r>
  <r>
    <n v="10772"/>
    <d v="2025-10-31T00:00:00"/>
    <n v="696.75"/>
    <n v="35"/>
    <x v="26"/>
    <x v="0"/>
    <s v="Praha"/>
    <x v="9"/>
  </r>
  <r>
    <n v="10773"/>
    <d v="2025-10-15T00:00:00"/>
    <n v="11588.25"/>
    <n v="21"/>
    <x v="23"/>
    <x v="1"/>
    <s v="Středočeský"/>
    <x v="9"/>
  </r>
  <r>
    <n v="10774"/>
    <d v="2025-10-06T00:00:00"/>
    <n v="1920.75"/>
    <n v="63"/>
    <x v="41"/>
    <x v="0"/>
    <s v="Praha"/>
    <x v="9"/>
  </r>
  <r>
    <n v="10775"/>
    <d v="2025-11-01T00:00:00"/>
    <n v="978.5"/>
    <n v="62"/>
    <x v="14"/>
    <x v="0"/>
    <s v="Praha"/>
    <x v="10"/>
  </r>
  <r>
    <n v="10776"/>
    <d v="2025-11-07T00:00:00"/>
    <n v="11508.5"/>
    <n v="4"/>
    <x v="12"/>
    <x v="1"/>
    <s v="Středočeský"/>
    <x v="10"/>
  </r>
  <r>
    <n v="10777"/>
    <d v="2025-11-01T00:00:00"/>
    <n v="364.75"/>
    <n v="47"/>
    <x v="53"/>
    <x v="0"/>
    <s v="Plzeňský"/>
    <x v="10"/>
  </r>
  <r>
    <n v="10778"/>
    <d v="2025-11-15T00:00:00"/>
    <n v="1507.75"/>
    <n v="70"/>
    <x v="72"/>
    <x v="0"/>
    <s v="Jihočeský"/>
    <x v="10"/>
  </r>
  <r>
    <n v="10779"/>
    <d v="2025-11-06T00:00:00"/>
    <n v="2897.5"/>
    <n v="23"/>
    <x v="73"/>
    <x v="1"/>
    <s v="Praha"/>
    <x v="10"/>
  </r>
  <r>
    <n v="10780"/>
    <d v="2025-11-26T00:00:00"/>
    <n v="5712.25"/>
    <n v="22"/>
    <x v="45"/>
    <x v="1"/>
    <s v="Praha"/>
    <x v="10"/>
  </r>
  <r>
    <n v="10781"/>
    <d v="2025-11-27T00:00:00"/>
    <n v="8137"/>
    <n v="26"/>
    <x v="33"/>
    <x v="1"/>
    <s v="Jihočeský"/>
    <x v="10"/>
  </r>
  <r>
    <n v="10782"/>
    <d v="2025-11-15T00:00:00"/>
    <n v="2354"/>
    <n v="39"/>
    <x v="11"/>
    <x v="0"/>
    <s v="Plzeňský"/>
    <x v="10"/>
  </r>
  <r>
    <n v="10783"/>
    <d v="2025-11-26T00:00:00"/>
    <n v="2598.5"/>
    <n v="31"/>
    <x v="62"/>
    <x v="0"/>
    <s v="Středočeský"/>
    <x v="10"/>
  </r>
  <r>
    <n v="10784"/>
    <d v="2025-11-15T00:00:00"/>
    <n v="5175.5"/>
    <n v="4"/>
    <x v="12"/>
    <x v="1"/>
    <s v="Středočeský"/>
    <x v="10"/>
  </r>
  <r>
    <n v="10785"/>
    <d v="2025-11-24T00:00:00"/>
    <n v="1061"/>
    <n v="59"/>
    <x v="71"/>
    <x v="0"/>
    <s v="Středočeský"/>
    <x v="10"/>
  </r>
  <r>
    <n v="10786"/>
    <d v="2025-11-15T00:00:00"/>
    <n v="282.5"/>
    <n v="72"/>
    <x v="61"/>
    <x v="0"/>
    <s v="Jihočeský"/>
    <x v="10"/>
  </r>
  <r>
    <n v="10787"/>
    <d v="2025-11-13T00:00:00"/>
    <n v="1018"/>
    <n v="60"/>
    <x v="74"/>
    <x v="0"/>
    <s v="Praha"/>
    <x v="10"/>
  </r>
  <r>
    <n v="10788"/>
    <d v="2025-11-30T00:00:00"/>
    <n v="4434"/>
    <n v="30"/>
    <x v="55"/>
    <x v="1"/>
    <s v="Praha"/>
    <x v="10"/>
  </r>
  <r>
    <n v="10789"/>
    <d v="2025-11-07T00:00:00"/>
    <n v="17248.25"/>
    <n v="7"/>
    <x v="51"/>
    <x v="1"/>
    <s v="Praha"/>
    <x v="10"/>
  </r>
  <r>
    <n v="10790"/>
    <d v="2025-11-20T00:00:00"/>
    <n v="1361.25"/>
    <n v="64"/>
    <x v="31"/>
    <x v="0"/>
    <s v="Jihočeský"/>
    <x v="10"/>
  </r>
  <r>
    <n v="10791"/>
    <d v="2025-11-08T00:00:00"/>
    <n v="6362.75"/>
    <n v="29"/>
    <x v="9"/>
    <x v="1"/>
    <s v="Praha"/>
    <x v="10"/>
  </r>
  <r>
    <n v="10792"/>
    <d v="2025-11-29T00:00:00"/>
    <n v="2570.5"/>
    <n v="37"/>
    <x v="3"/>
    <x v="0"/>
    <s v="Jihočeský"/>
    <x v="10"/>
  </r>
  <r>
    <n v="10793"/>
    <d v="2025-11-14T00:00:00"/>
    <n v="1780.25"/>
    <n v="75"/>
    <x v="70"/>
    <x v="0"/>
    <s v="Plzeňský"/>
    <x v="10"/>
  </r>
  <r>
    <n v="10794"/>
    <d v="2025-11-13T00:00:00"/>
    <n v="1570.25"/>
    <n v="54"/>
    <x v="39"/>
    <x v="0"/>
    <s v="Jihočeský"/>
    <x v="10"/>
  </r>
  <r>
    <n v="10795"/>
    <d v="2025-11-05T00:00:00"/>
    <n v="1171.5"/>
    <n v="54"/>
    <x v="39"/>
    <x v="0"/>
    <s v="Jihočeský"/>
    <x v="10"/>
  </r>
  <r>
    <n v="10796"/>
    <d v="2025-11-21T00:00:00"/>
    <n v="1290"/>
    <n v="57"/>
    <x v="1"/>
    <x v="0"/>
    <s v="Jihočeský"/>
    <x v="10"/>
  </r>
  <r>
    <n v="10797"/>
    <d v="2025-11-19T00:00:00"/>
    <n v="1148.75"/>
    <n v="63"/>
    <x v="41"/>
    <x v="0"/>
    <s v="Praha"/>
    <x v="10"/>
  </r>
  <r>
    <n v="10798"/>
    <d v="2025-11-14T00:00:00"/>
    <n v="2569.75"/>
    <n v="73"/>
    <x v="35"/>
    <x v="0"/>
    <s v="Středočeský"/>
    <x v="10"/>
  </r>
  <r>
    <n v="10799"/>
    <d v="2025-11-12T00:00:00"/>
    <n v="6448.75"/>
    <n v="28"/>
    <x v="64"/>
    <x v="1"/>
    <s v="Jihočeský"/>
    <x v="10"/>
  </r>
  <r>
    <n v="10800"/>
    <d v="2025-11-24T00:00:00"/>
    <n v="1503.75"/>
    <n v="57"/>
    <x v="1"/>
    <x v="0"/>
    <s v="Jihočeský"/>
    <x v="10"/>
  </r>
  <r>
    <n v="10801"/>
    <d v="2025-11-19T00:00:00"/>
    <n v="1340.75"/>
    <n v="72"/>
    <x v="61"/>
    <x v="0"/>
    <s v="Jihočeský"/>
    <x v="10"/>
  </r>
  <r>
    <n v="10802"/>
    <d v="2025-11-19T00:00:00"/>
    <n v="2630.5"/>
    <n v="50"/>
    <x v="8"/>
    <x v="0"/>
    <s v="Středočeský"/>
    <x v="10"/>
  </r>
  <r>
    <n v="10803"/>
    <d v="2025-11-17T00:00:00"/>
    <n v="1574.25"/>
    <n v="71"/>
    <x v="25"/>
    <x v="0"/>
    <s v="Středočeský"/>
    <x v="10"/>
  </r>
  <r>
    <n v="10804"/>
    <d v="2025-11-26T00:00:00"/>
    <n v="17218.5"/>
    <n v="15"/>
    <x v="37"/>
    <x v="1"/>
    <s v="Praha"/>
    <x v="10"/>
  </r>
  <r>
    <n v="10805"/>
    <d v="2025-11-01T00:00:00"/>
    <n v="2392.25"/>
    <n v="72"/>
    <x v="61"/>
    <x v="0"/>
    <s v="Jihočeský"/>
    <x v="10"/>
  </r>
  <r>
    <n v="10806"/>
    <d v="2025-11-10T00:00:00"/>
    <n v="2364.75"/>
    <n v="63"/>
    <x v="41"/>
    <x v="0"/>
    <s v="Praha"/>
    <x v="10"/>
  </r>
  <r>
    <n v="10807"/>
    <d v="2025-11-12T00:00:00"/>
    <n v="17434.25"/>
    <n v="30"/>
    <x v="55"/>
    <x v="1"/>
    <s v="Praha"/>
    <x v="10"/>
  </r>
  <r>
    <n v="10808"/>
    <d v="2025-11-18T00:00:00"/>
    <n v="6764.25"/>
    <n v="21"/>
    <x v="23"/>
    <x v="1"/>
    <s v="Středočeský"/>
    <x v="10"/>
  </r>
  <r>
    <n v="10809"/>
    <d v="2025-11-17T00:00:00"/>
    <n v="1564"/>
    <n v="65"/>
    <x v="54"/>
    <x v="0"/>
    <s v="Plzeňský"/>
    <x v="10"/>
  </r>
  <r>
    <n v="10810"/>
    <d v="2025-11-23T00:00:00"/>
    <n v="2357.5"/>
    <n v="46"/>
    <x v="4"/>
    <x v="0"/>
    <s v="Středočeský"/>
    <x v="10"/>
  </r>
  <r>
    <n v="10811"/>
    <d v="2025-11-12T00:00:00"/>
    <n v="1269.25"/>
    <n v="32"/>
    <x v="50"/>
    <x v="0"/>
    <s v="Jihočeský"/>
    <x v="10"/>
  </r>
  <r>
    <n v="10812"/>
    <d v="2025-11-29T00:00:00"/>
    <n v="459.5"/>
    <n v="68"/>
    <x v="66"/>
    <x v="0"/>
    <s v="neznámý"/>
    <x v="10"/>
  </r>
  <r>
    <n v="10814"/>
    <d v="2025-11-23T00:00:00"/>
    <n v="1986.75"/>
    <n v="72"/>
    <x v="61"/>
    <x v="0"/>
    <s v="Jihočeský"/>
    <x v="10"/>
  </r>
  <r>
    <n v="10815"/>
    <d v="2025-11-21T00:00:00"/>
    <n v="2077.25"/>
    <n v="60"/>
    <x v="74"/>
    <x v="0"/>
    <s v="Praha"/>
    <x v="10"/>
  </r>
  <r>
    <n v="10816"/>
    <d v="2025-11-08T00:00:00"/>
    <n v="1031.75"/>
    <n v="45"/>
    <x v="47"/>
    <x v="0"/>
    <s v="Praha"/>
    <x v="10"/>
  </r>
  <r>
    <n v="10817"/>
    <d v="2025-11-06T00:00:00"/>
    <n v="1834.25"/>
    <n v="73"/>
    <x v="35"/>
    <x v="0"/>
    <s v="Středočeský"/>
    <x v="10"/>
  </r>
  <r>
    <n v="10818"/>
    <d v="2025-11-12T00:00:00"/>
    <n v="803.25"/>
    <n v="71"/>
    <x v="25"/>
    <x v="0"/>
    <s v="Středočeský"/>
    <x v="10"/>
  </r>
  <r>
    <n v="10819"/>
    <d v="2025-11-04T00:00:00"/>
    <n v="1180"/>
    <n v="61"/>
    <x v="19"/>
    <x v="0"/>
    <s v="Středočeský"/>
    <x v="10"/>
  </r>
  <r>
    <n v="10820"/>
    <d v="2025-11-18T00:00:00"/>
    <n v="2147.25"/>
    <n v="65"/>
    <x v="54"/>
    <x v="0"/>
    <s v="Plzeňský"/>
    <x v="10"/>
  </r>
  <r>
    <n v="10821"/>
    <d v="2025-11-20T00:00:00"/>
    <n v="2399"/>
    <n v="65"/>
    <x v="54"/>
    <x v="0"/>
    <s v="Plzeňský"/>
    <x v="10"/>
  </r>
  <r>
    <n v="10822"/>
    <d v="2025-11-25T00:00:00"/>
    <n v="1949.75"/>
    <n v="31"/>
    <x v="62"/>
    <x v="0"/>
    <s v="Středočeský"/>
    <x v="10"/>
  </r>
  <r>
    <n v="10823"/>
    <d v="2025-11-20T00:00:00"/>
    <n v="15323.5"/>
    <n v="6"/>
    <x v="34"/>
    <x v="1"/>
    <s v="Plzeňský"/>
    <x v="10"/>
  </r>
  <r>
    <n v="10824"/>
    <d v="2025-11-23T00:00:00"/>
    <n v="5873"/>
    <n v="3"/>
    <x v="13"/>
    <x v="1"/>
    <s v="Jihočeský"/>
    <x v="10"/>
  </r>
  <r>
    <n v="10825"/>
    <d v="2025-11-24T00:00:00"/>
    <n v="2592.75"/>
    <n v="47"/>
    <x v="53"/>
    <x v="0"/>
    <s v="Plzeňský"/>
    <x v="10"/>
  </r>
  <r>
    <n v="10826"/>
    <d v="2025-11-06T00:00:00"/>
    <n v="865"/>
    <n v="37"/>
    <x v="3"/>
    <x v="0"/>
    <s v="Jihočeský"/>
    <x v="10"/>
  </r>
  <r>
    <n v="10827"/>
    <d v="2025-11-21T00:00:00"/>
    <n v="13732"/>
    <n v="8"/>
    <x v="27"/>
    <x v="1"/>
    <s v="Středočeský"/>
    <x v="10"/>
  </r>
  <r>
    <n v="10828"/>
    <d v="2025-11-28T00:00:00"/>
    <n v="16483.75"/>
    <n v="18"/>
    <x v="56"/>
    <x v="1"/>
    <s v="Praha"/>
    <x v="10"/>
  </r>
  <r>
    <n v="10829"/>
    <d v="2025-11-27T00:00:00"/>
    <n v="454.75"/>
    <n v="71"/>
    <x v="25"/>
    <x v="0"/>
    <s v="Středočeský"/>
    <x v="10"/>
  </r>
  <r>
    <n v="10830"/>
    <d v="2025-11-15T00:00:00"/>
    <n v="2313.5"/>
    <n v="65"/>
    <x v="54"/>
    <x v="0"/>
    <s v="Plzeňský"/>
    <x v="10"/>
  </r>
  <r>
    <n v="10831"/>
    <d v="2025-11-12T00:00:00"/>
    <n v="2116"/>
    <n v="58"/>
    <x v="69"/>
    <x v="0"/>
    <s v="Praha"/>
    <x v="10"/>
  </r>
  <r>
    <n v="10832"/>
    <d v="2025-11-21T00:00:00"/>
    <n v="1046.25"/>
    <n v="49"/>
    <x v="15"/>
    <x v="0"/>
    <s v="Plzeňský"/>
    <x v="10"/>
  </r>
  <r>
    <n v="10833"/>
    <d v="2025-11-13T00:00:00"/>
    <n v="1955.75"/>
    <n v="47"/>
    <x v="53"/>
    <x v="0"/>
    <s v="Plzeňský"/>
    <x v="10"/>
  </r>
  <r>
    <n v="10834"/>
    <d v="2025-11-17T00:00:00"/>
    <n v="1400.5"/>
    <n v="46"/>
    <x v="4"/>
    <x v="0"/>
    <s v="Středočeský"/>
    <x v="10"/>
  </r>
  <r>
    <n v="10835"/>
    <d v="2025-11-21T00:00:00"/>
    <n v="5028.75"/>
    <n v="14"/>
    <x v="28"/>
    <x v="1"/>
    <s v="Praha"/>
    <x v="10"/>
  </r>
  <r>
    <n v="10836"/>
    <d v="2025-11-27T00:00:00"/>
    <n v="10027"/>
    <n v="6"/>
    <x v="34"/>
    <x v="1"/>
    <s v="Plzeňský"/>
    <x v="10"/>
  </r>
  <r>
    <n v="10837"/>
    <d v="2025-11-17T00:00:00"/>
    <n v="389"/>
    <n v="57"/>
    <x v="1"/>
    <x v="0"/>
    <s v="Jihočeský"/>
    <x v="10"/>
  </r>
  <r>
    <n v="10838"/>
    <d v="2025-11-20T00:00:00"/>
    <n v="2177.75"/>
    <n v="33"/>
    <x v="6"/>
    <x v="0"/>
    <s v="Praha"/>
    <x v="10"/>
  </r>
  <r>
    <n v="10839"/>
    <d v="2025-11-12T00:00:00"/>
    <n v="2428.5"/>
    <n v="34"/>
    <x v="10"/>
    <x v="0"/>
    <s v="Praha"/>
    <x v="10"/>
  </r>
  <r>
    <n v="10840"/>
    <d v="2025-11-24T00:00:00"/>
    <n v="2002.25"/>
    <n v="58"/>
    <x v="69"/>
    <x v="0"/>
    <s v="Praha"/>
    <x v="10"/>
  </r>
  <r>
    <n v="10841"/>
    <d v="2025-11-24T00:00:00"/>
    <n v="2395.5"/>
    <n v="34"/>
    <x v="10"/>
    <x v="0"/>
    <s v="Praha"/>
    <x v="10"/>
  </r>
  <r>
    <n v="10842"/>
    <d v="2025-11-02T00:00:00"/>
    <n v="1017.25"/>
    <n v="45"/>
    <x v="47"/>
    <x v="0"/>
    <s v="Praha"/>
    <x v="10"/>
  </r>
  <r>
    <n v="10843"/>
    <d v="2025-11-17T00:00:00"/>
    <n v="448.75"/>
    <n v="39"/>
    <x v="11"/>
    <x v="0"/>
    <s v="Plzeňský"/>
    <x v="10"/>
  </r>
  <r>
    <n v="10844"/>
    <d v="2025-11-05T00:00:00"/>
    <n v="1987"/>
    <n v="60"/>
    <x v="74"/>
    <x v="0"/>
    <s v="Praha"/>
    <x v="10"/>
  </r>
  <r>
    <n v="10845"/>
    <d v="2025-11-16T00:00:00"/>
    <n v="1959"/>
    <n v="36"/>
    <x v="68"/>
    <x v="0"/>
    <s v="Středočeský"/>
    <x v="10"/>
  </r>
  <r>
    <n v="10846"/>
    <d v="2025-11-16T00:00:00"/>
    <n v="8014.5"/>
    <n v="15"/>
    <x v="37"/>
    <x v="1"/>
    <s v="Praha"/>
    <x v="10"/>
  </r>
  <r>
    <n v="10847"/>
    <d v="2025-11-13T00:00:00"/>
    <n v="7202.25"/>
    <n v="26"/>
    <x v="33"/>
    <x v="1"/>
    <s v="Jihočeský"/>
    <x v="10"/>
  </r>
  <r>
    <n v="10848"/>
    <d v="2025-11-25T00:00:00"/>
    <n v="454.5"/>
    <n v="53"/>
    <x v="67"/>
    <x v="0"/>
    <s v="Středočeský"/>
    <x v="10"/>
  </r>
  <r>
    <n v="10849"/>
    <d v="2025-11-20T00:00:00"/>
    <n v="4221.5"/>
    <n v="29"/>
    <x v="9"/>
    <x v="1"/>
    <s v="Praha"/>
    <x v="10"/>
  </r>
  <r>
    <n v="10850"/>
    <d v="2025-11-26T00:00:00"/>
    <n v="2315.5"/>
    <n v="42"/>
    <x v="0"/>
    <x v="0"/>
    <s v="Praha"/>
    <x v="10"/>
  </r>
  <r>
    <n v="10851"/>
    <d v="2025-11-02T00:00:00"/>
    <n v="16055"/>
    <n v="10"/>
    <x v="49"/>
    <x v="1"/>
    <s v="Plzeňský"/>
    <x v="10"/>
  </r>
  <r>
    <n v="10852"/>
    <d v="2025-11-21T00:00:00"/>
    <n v="1809"/>
    <n v="63"/>
    <x v="41"/>
    <x v="0"/>
    <s v="Praha"/>
    <x v="10"/>
  </r>
  <r>
    <n v="10853"/>
    <d v="2025-11-15T00:00:00"/>
    <n v="1165.25"/>
    <n v="64"/>
    <x v="31"/>
    <x v="0"/>
    <s v="Jihočeský"/>
    <x v="10"/>
  </r>
  <r>
    <n v="10854"/>
    <d v="2025-11-30T00:00:00"/>
    <n v="2016.75"/>
    <n v="49"/>
    <x v="15"/>
    <x v="0"/>
    <s v="Plzeňský"/>
    <x v="10"/>
  </r>
  <r>
    <n v="10855"/>
    <d v="2025-11-22T00:00:00"/>
    <n v="741.75"/>
    <n v="62"/>
    <x v="14"/>
    <x v="0"/>
    <s v="Praha"/>
    <x v="10"/>
  </r>
  <r>
    <n v="10856"/>
    <d v="2025-11-18T00:00:00"/>
    <n v="2714.25"/>
    <n v="66"/>
    <x v="44"/>
    <x v="0"/>
    <s v="Plzeňský"/>
    <x v="10"/>
  </r>
  <r>
    <n v="10857"/>
    <d v="2025-11-21T00:00:00"/>
    <n v="12483.25"/>
    <n v="7"/>
    <x v="51"/>
    <x v="1"/>
    <s v="Praha"/>
    <x v="10"/>
  </r>
  <r>
    <n v="10858"/>
    <d v="2025-11-15T00:00:00"/>
    <n v="525.5"/>
    <n v="71"/>
    <x v="25"/>
    <x v="0"/>
    <s v="Středočeský"/>
    <x v="10"/>
  </r>
  <r>
    <n v="10859"/>
    <d v="2025-11-09T00:00:00"/>
    <n v="2276.25"/>
    <n v="55"/>
    <x v="48"/>
    <x v="0"/>
    <s v="Plzeňský"/>
    <x v="10"/>
  </r>
  <r>
    <n v="10860"/>
    <d v="2025-11-22T00:00:00"/>
    <n v="9019.5"/>
    <n v="15"/>
    <x v="37"/>
    <x v="1"/>
    <s v="Praha"/>
    <x v="10"/>
  </r>
  <r>
    <n v="10861"/>
    <d v="2025-11-23T00:00:00"/>
    <n v="2187.25"/>
    <n v="74"/>
    <x v="18"/>
    <x v="0"/>
    <s v="Středočeský"/>
    <x v="10"/>
  </r>
  <r>
    <n v="10862"/>
    <d v="2025-11-29T00:00:00"/>
    <n v="4811"/>
    <n v="11"/>
    <x v="17"/>
    <x v="1"/>
    <s v="Plzeňský"/>
    <x v="10"/>
  </r>
  <r>
    <n v="10863"/>
    <d v="2025-11-09T00:00:00"/>
    <n v="1535.25"/>
    <n v="32"/>
    <x v="50"/>
    <x v="0"/>
    <s v="Jihočeský"/>
    <x v="10"/>
  </r>
  <r>
    <n v="10864"/>
    <d v="2025-11-08T00:00:00"/>
    <n v="1099.5"/>
    <n v="62"/>
    <x v="14"/>
    <x v="0"/>
    <s v="Praha"/>
    <x v="10"/>
  </r>
  <r>
    <n v="10865"/>
    <d v="2025-11-02T00:00:00"/>
    <n v="1193.5"/>
    <n v="39"/>
    <x v="11"/>
    <x v="0"/>
    <s v="Plzeňský"/>
    <x v="10"/>
  </r>
  <r>
    <n v="10866"/>
    <d v="2025-11-05T00:00:00"/>
    <n v="2036.75"/>
    <n v="31"/>
    <x v="62"/>
    <x v="0"/>
    <s v="Středočeský"/>
    <x v="10"/>
  </r>
  <r>
    <n v="10867"/>
    <d v="2025-11-11T00:00:00"/>
    <n v="908"/>
    <n v="64"/>
    <x v="31"/>
    <x v="0"/>
    <s v="Jihočeský"/>
    <x v="10"/>
  </r>
  <r>
    <n v="10868"/>
    <d v="2025-11-05T00:00:00"/>
    <n v="2155"/>
    <n v="46"/>
    <x v="4"/>
    <x v="0"/>
    <s v="Středočeský"/>
    <x v="10"/>
  </r>
  <r>
    <n v="10869"/>
    <d v="2025-11-17T00:00:00"/>
    <n v="710.75"/>
    <n v="73"/>
    <x v="35"/>
    <x v="0"/>
    <s v="Středočeský"/>
    <x v="10"/>
  </r>
  <r>
    <n v="10870"/>
    <d v="2025-11-01T00:00:00"/>
    <n v="794"/>
    <n v="31"/>
    <x v="62"/>
    <x v="0"/>
    <s v="Středočeský"/>
    <x v="10"/>
  </r>
  <r>
    <n v="10871"/>
    <d v="2025-11-08T00:00:00"/>
    <n v="6849.5"/>
    <n v="7"/>
    <x v="51"/>
    <x v="1"/>
    <s v="Praha"/>
    <x v="10"/>
  </r>
  <r>
    <n v="10872"/>
    <d v="2025-11-23T00:00:00"/>
    <n v="2504"/>
    <n v="38"/>
    <x v="38"/>
    <x v="0"/>
    <s v="Plzeňský"/>
    <x v="10"/>
  </r>
  <r>
    <n v="10873"/>
    <d v="2025-11-09T00:00:00"/>
    <n v="2479"/>
    <n v="56"/>
    <x v="29"/>
    <x v="0"/>
    <s v="Praha"/>
    <x v="10"/>
  </r>
  <r>
    <n v="10874"/>
    <d v="2025-11-18T00:00:00"/>
    <n v="1831.75"/>
    <n v="49"/>
    <x v="15"/>
    <x v="0"/>
    <s v="Plzeňský"/>
    <x v="10"/>
  </r>
  <r>
    <n v="10875"/>
    <d v="2025-11-05T00:00:00"/>
    <n v="2542.25"/>
    <n v="43"/>
    <x v="75"/>
    <x v="0"/>
    <s v="Plzeňský"/>
    <x v="10"/>
  </r>
  <r>
    <n v="10876"/>
    <d v="2025-11-27T00:00:00"/>
    <n v="14980.75"/>
    <n v="19"/>
    <x v="24"/>
    <x v="1"/>
    <s v="Praha"/>
    <x v="10"/>
  </r>
  <r>
    <n v="10877"/>
    <d v="2025-11-08T00:00:00"/>
    <n v="1495.5"/>
    <n v="69"/>
    <x v="30"/>
    <x v="0"/>
    <s v="Plzeňský"/>
    <x v="10"/>
  </r>
  <r>
    <n v="10878"/>
    <d v="2025-11-03T00:00:00"/>
    <n v="9566.25"/>
    <n v="23"/>
    <x v="73"/>
    <x v="1"/>
    <s v="Praha"/>
    <x v="10"/>
  </r>
  <r>
    <n v="10879"/>
    <d v="2025-11-27T00:00:00"/>
    <n v="1577.25"/>
    <n v="53"/>
    <x v="67"/>
    <x v="0"/>
    <s v="Středočeský"/>
    <x v="10"/>
  </r>
  <r>
    <n v="10880"/>
    <d v="2025-11-11T00:00:00"/>
    <n v="10821.5"/>
    <n v="20"/>
    <x v="16"/>
    <x v="1"/>
    <s v="Praha"/>
    <x v="10"/>
  </r>
  <r>
    <n v="10881"/>
    <d v="2025-11-18T00:00:00"/>
    <n v="17262.75"/>
    <n v="4"/>
    <x v="12"/>
    <x v="1"/>
    <s v="Středočeský"/>
    <x v="10"/>
  </r>
  <r>
    <n v="10882"/>
    <d v="2025-11-24T00:00:00"/>
    <n v="1592"/>
    <n v="59"/>
    <x v="71"/>
    <x v="0"/>
    <s v="Středočeský"/>
    <x v="10"/>
  </r>
  <r>
    <n v="10883"/>
    <d v="2025-11-21T00:00:00"/>
    <n v="2162"/>
    <n v="37"/>
    <x v="3"/>
    <x v="0"/>
    <s v="Jihočeský"/>
    <x v="10"/>
  </r>
  <r>
    <n v="10884"/>
    <d v="2025-11-19T00:00:00"/>
    <n v="11344.5"/>
    <n v="8"/>
    <x v="27"/>
    <x v="1"/>
    <s v="Středočeský"/>
    <x v="10"/>
  </r>
  <r>
    <n v="10885"/>
    <d v="2025-11-29T00:00:00"/>
    <n v="10305"/>
    <n v="12"/>
    <x v="60"/>
    <x v="1"/>
    <s v="Středočeský"/>
    <x v="10"/>
  </r>
  <r>
    <n v="10886"/>
    <d v="2025-11-19T00:00:00"/>
    <n v="7285.5"/>
    <n v="8"/>
    <x v="27"/>
    <x v="1"/>
    <s v="Středočeský"/>
    <x v="10"/>
  </r>
  <r>
    <n v="10887"/>
    <d v="2025-11-24T00:00:00"/>
    <n v="1837.75"/>
    <n v="57"/>
    <x v="1"/>
    <x v="0"/>
    <s v="Jihočeský"/>
    <x v="10"/>
  </r>
  <r>
    <n v="10888"/>
    <d v="2025-11-30T00:00:00"/>
    <n v="2708"/>
    <n v="72"/>
    <x v="61"/>
    <x v="0"/>
    <s v="Jihočeský"/>
    <x v="10"/>
  </r>
  <r>
    <n v="10889"/>
    <d v="2025-11-23T00:00:00"/>
    <n v="1150"/>
    <n v="36"/>
    <x v="68"/>
    <x v="0"/>
    <s v="Středočeský"/>
    <x v="10"/>
  </r>
  <r>
    <n v="10890"/>
    <d v="2025-12-05T00:00:00"/>
    <n v="1528.75"/>
    <n v="36"/>
    <x v="68"/>
    <x v="0"/>
    <s v="Středočeský"/>
    <x v="11"/>
  </r>
  <r>
    <n v="10891"/>
    <d v="2025-12-04T00:00:00"/>
    <n v="8423.5"/>
    <n v="30"/>
    <x v="55"/>
    <x v="1"/>
    <s v="Praha"/>
    <x v="11"/>
  </r>
  <r>
    <n v="10892"/>
    <d v="2025-12-24T00:00:00"/>
    <n v="5272"/>
    <n v="26"/>
    <x v="33"/>
    <x v="1"/>
    <s v="Jihočeský"/>
    <x v="11"/>
  </r>
  <r>
    <n v="10893"/>
    <d v="2025-12-22T00:00:00"/>
    <n v="1581.25"/>
    <n v="39"/>
    <x v="11"/>
    <x v="0"/>
    <s v="Plzeňský"/>
    <x v="11"/>
  </r>
  <r>
    <n v="10894"/>
    <d v="2025-12-13T00:00:00"/>
    <n v="1825.25"/>
    <n v="61"/>
    <x v="19"/>
    <x v="0"/>
    <s v="Středočeský"/>
    <x v="11"/>
  </r>
  <r>
    <n v="10895"/>
    <d v="2025-12-07T00:00:00"/>
    <n v="1239.75"/>
    <n v="39"/>
    <x v="11"/>
    <x v="0"/>
    <s v="Plzeňský"/>
    <x v="11"/>
  </r>
  <r>
    <n v="10896"/>
    <d v="2025-12-18T00:00:00"/>
    <n v="1087"/>
    <n v="68"/>
    <x v="66"/>
    <x v="0"/>
    <s v="neznámý"/>
    <x v="11"/>
  </r>
  <r>
    <n v="10897"/>
    <d v="2025-12-05T00:00:00"/>
    <n v="9444.5"/>
    <n v="13"/>
    <x v="36"/>
    <x v="1"/>
    <s v="Jihočeský"/>
    <x v="11"/>
  </r>
  <r>
    <n v="10898"/>
    <d v="2025-12-17T00:00:00"/>
    <n v="5994.5"/>
    <n v="9"/>
    <x v="42"/>
    <x v="1"/>
    <s v="neznámý"/>
    <x v="11"/>
  </r>
  <r>
    <n v="10899"/>
    <d v="2025-12-13T00:00:00"/>
    <n v="2647"/>
    <n v="7"/>
    <x v="51"/>
    <x v="1"/>
    <s v="Praha"/>
    <x v="11"/>
  </r>
  <r>
    <n v="10900"/>
    <d v="2025-12-07T00:00:00"/>
    <n v="10144"/>
    <n v="7"/>
    <x v="51"/>
    <x v="1"/>
    <s v="Praha"/>
    <x v="11"/>
  </r>
  <r>
    <n v="10901"/>
    <d v="2025-12-31T00:00:00"/>
    <n v="517.5"/>
    <n v="52"/>
    <x v="46"/>
    <x v="0"/>
    <s v="Jihočeský"/>
    <x v="11"/>
  </r>
  <r>
    <n v="10902"/>
    <d v="2025-12-28T00:00:00"/>
    <n v="1868.75"/>
    <n v="58"/>
    <x v="69"/>
    <x v="0"/>
    <s v="Praha"/>
    <x v="11"/>
  </r>
  <r>
    <n v="10903"/>
    <d v="2025-12-04T00:00:00"/>
    <n v="296"/>
    <n v="39"/>
    <x v="11"/>
    <x v="0"/>
    <s v="Plzeňský"/>
    <x v="11"/>
  </r>
  <r>
    <n v="10904"/>
    <d v="2025-12-28T00:00:00"/>
    <n v="2159.25"/>
    <n v="69"/>
    <x v="30"/>
    <x v="0"/>
    <s v="Plzeňský"/>
    <x v="11"/>
  </r>
  <r>
    <n v="10905"/>
    <d v="2025-12-19T00:00:00"/>
    <n v="1854.25"/>
    <n v="67"/>
    <x v="21"/>
    <x v="0"/>
    <s v="Praha"/>
    <x v="11"/>
  </r>
  <r>
    <n v="10906"/>
    <d v="2025-12-05T00:00:00"/>
    <n v="1190.25"/>
    <n v="67"/>
    <x v="21"/>
    <x v="0"/>
    <s v="Praha"/>
    <x v="11"/>
  </r>
  <r>
    <n v="10907"/>
    <d v="2025-12-11T00:00:00"/>
    <n v="12109"/>
    <n v="21"/>
    <x v="23"/>
    <x v="1"/>
    <s v="Středočeský"/>
    <x v="11"/>
  </r>
  <r>
    <n v="10908"/>
    <d v="2025-12-19T00:00:00"/>
    <n v="7397.25"/>
    <n v="16"/>
    <x v="7"/>
    <x v="1"/>
    <s v="Praha"/>
    <x v="11"/>
  </r>
  <r>
    <n v="10909"/>
    <d v="2025-12-13T00:00:00"/>
    <n v="1769"/>
    <n v="76"/>
    <x v="2"/>
    <x v="0"/>
    <s v="Jihočeský"/>
    <x v="11"/>
  </r>
  <r>
    <n v="10910"/>
    <d v="2025-12-23T00:00:00"/>
    <n v="1396"/>
    <n v="74"/>
    <x v="18"/>
    <x v="0"/>
    <s v="Středočeský"/>
    <x v="11"/>
  </r>
  <r>
    <n v="10911"/>
    <d v="2025-12-01T00:00:00"/>
    <n v="9752.25"/>
    <n v="3"/>
    <x v="13"/>
    <x v="1"/>
    <s v="Jihočeský"/>
    <x v="11"/>
  </r>
  <r>
    <n v="10912"/>
    <d v="2025-12-29T00:00:00"/>
    <n v="1214.25"/>
    <n v="72"/>
    <x v="61"/>
    <x v="0"/>
    <s v="Jihočeský"/>
    <x v="11"/>
  </r>
  <r>
    <n v="10913"/>
    <d v="2025-12-22T00:00:00"/>
    <n v="1052.75"/>
    <n v="58"/>
    <x v="69"/>
    <x v="0"/>
    <s v="Praha"/>
    <x v="11"/>
  </r>
  <r>
    <n v="10914"/>
    <d v="2025-12-24T00:00:00"/>
    <n v="676.25"/>
    <n v="42"/>
    <x v="0"/>
    <x v="0"/>
    <s v="Praha"/>
    <x v="11"/>
  </r>
  <r>
    <n v="10915"/>
    <d v="2025-12-17T00:00:00"/>
    <n v="2480.75"/>
    <n v="66"/>
    <x v="44"/>
    <x v="0"/>
    <s v="Plzeňský"/>
    <x v="11"/>
  </r>
  <r>
    <n v="10916"/>
    <d v="2025-12-27T00:00:00"/>
    <n v="1142.75"/>
    <n v="32"/>
    <x v="50"/>
    <x v="0"/>
    <s v="Jihočeský"/>
    <x v="11"/>
  </r>
  <r>
    <n v="10917"/>
    <d v="2025-12-11T00:00:00"/>
    <n v="2450.5"/>
    <n v="59"/>
    <x v="71"/>
    <x v="0"/>
    <s v="Středočeský"/>
    <x v="11"/>
  </r>
  <r>
    <n v="10918"/>
    <d v="2025-12-14T00:00:00"/>
    <n v="1251.75"/>
    <n v="66"/>
    <x v="44"/>
    <x v="0"/>
    <s v="Plzeňský"/>
    <x v="11"/>
  </r>
  <r>
    <n v="10919"/>
    <d v="2025-12-03T00:00:00"/>
    <n v="1515.75"/>
    <n v="69"/>
    <x v="30"/>
    <x v="0"/>
    <s v="Plzeňský"/>
    <x v="11"/>
  </r>
  <r>
    <n v="10920"/>
    <d v="2025-12-19T00:00:00"/>
    <n v="2159"/>
    <n v="32"/>
    <x v="50"/>
    <x v="0"/>
    <s v="Jihočeský"/>
    <x v="11"/>
  </r>
  <r>
    <n v="10921"/>
    <d v="2025-12-13T00:00:00"/>
    <n v="3534"/>
    <n v="28"/>
    <x v="64"/>
    <x v="1"/>
    <s v="Jihočeský"/>
    <x v="11"/>
  </r>
  <r>
    <n v="10922"/>
    <d v="2025-12-21T00:00:00"/>
    <n v="3338.25"/>
    <n v="18"/>
    <x v="56"/>
    <x v="1"/>
    <s v="Praha"/>
    <x v="11"/>
  </r>
  <r>
    <n v="10923"/>
    <d v="2025-12-31T00:00:00"/>
    <n v="8152.25"/>
    <n v="28"/>
    <x v="64"/>
    <x v="1"/>
    <s v="Jihočeský"/>
    <x v="11"/>
  </r>
  <r>
    <n v="10924"/>
    <d v="2025-12-17T00:00:00"/>
    <n v="8672"/>
    <n v="5"/>
    <x v="5"/>
    <x v="1"/>
    <s v="Plzeňský"/>
    <x v="11"/>
  </r>
  <r>
    <n v="10925"/>
    <d v="2025-12-10T00:00:00"/>
    <n v="1795.25"/>
    <n v="57"/>
    <x v="1"/>
    <x v="0"/>
    <s v="Jihočeský"/>
    <x v="11"/>
  </r>
  <r>
    <n v="10926"/>
    <d v="2025-12-02T00:00:00"/>
    <n v="321.25"/>
    <n v="48"/>
    <x v="59"/>
    <x v="0"/>
    <s v="Středočeský"/>
    <x v="11"/>
  </r>
  <r>
    <n v="10927"/>
    <d v="2025-12-07T00:00:00"/>
    <n v="13885.5"/>
    <n v="7"/>
    <x v="51"/>
    <x v="1"/>
    <s v="Praha"/>
    <x v="11"/>
  </r>
  <r>
    <n v="10928"/>
    <d v="2025-12-10T00:00:00"/>
    <n v="4176"/>
    <n v="11"/>
    <x v="17"/>
    <x v="1"/>
    <s v="Plzeňský"/>
    <x v="11"/>
  </r>
  <r>
    <n v="10929"/>
    <d v="2025-12-01T00:00:00"/>
    <n v="2035"/>
    <n v="56"/>
    <x v="29"/>
    <x v="0"/>
    <s v="Praha"/>
    <x v="11"/>
  </r>
  <r>
    <n v="10930"/>
    <d v="2025-12-31T00:00:00"/>
    <n v="1104.75"/>
    <n v="63"/>
    <x v="41"/>
    <x v="0"/>
    <s v="Praha"/>
    <x v="11"/>
  </r>
  <r>
    <n v="10931"/>
    <d v="2025-12-30T00:00:00"/>
    <n v="9153.25"/>
    <n v="17"/>
    <x v="58"/>
    <x v="1"/>
    <s v="Středočeský"/>
    <x v="11"/>
  </r>
  <r>
    <n v="10932"/>
    <d v="2025-12-04T00:00:00"/>
    <n v="3704.25"/>
    <n v="6"/>
    <x v="34"/>
    <x v="1"/>
    <s v="Plzeňský"/>
    <x v="11"/>
  </r>
  <r>
    <n v="10933"/>
    <d v="2025-12-05T00:00:00"/>
    <n v="2127.25"/>
    <n v="44"/>
    <x v="63"/>
    <x v="0"/>
    <s v="neznámý"/>
    <x v="11"/>
  </r>
  <r>
    <n v="10934"/>
    <d v="2025-12-10T00:00:00"/>
    <n v="6103.5"/>
    <n v="13"/>
    <x v="36"/>
    <x v="1"/>
    <s v="Jihočeský"/>
    <x v="11"/>
  </r>
  <r>
    <n v="10935"/>
    <d v="2025-12-04T00:00:00"/>
    <n v="2482"/>
    <n v="74"/>
    <x v="18"/>
    <x v="0"/>
    <s v="Středočeský"/>
    <x v="11"/>
  </r>
  <r>
    <n v="10936"/>
    <d v="2025-12-21T00:00:00"/>
    <n v="838.25"/>
    <n v="54"/>
    <x v="39"/>
    <x v="0"/>
    <s v="Jihočeský"/>
    <x v="11"/>
  </r>
  <r>
    <n v="10937"/>
    <d v="2025-12-22T00:00:00"/>
    <n v="12208"/>
    <n v="22"/>
    <x v="45"/>
    <x v="1"/>
    <s v="Praha"/>
    <x v="11"/>
  </r>
  <r>
    <n v="10938"/>
    <d v="2025-12-11T00:00:00"/>
    <n v="2498.5"/>
    <n v="41"/>
    <x v="65"/>
    <x v="0"/>
    <s v="Praha"/>
    <x v="11"/>
  </r>
  <r>
    <n v="10939"/>
    <d v="2025-12-13T00:00:00"/>
    <n v="741.75"/>
    <n v="51"/>
    <x v="22"/>
    <x v="0"/>
    <s v="Plzeňský"/>
    <x v="11"/>
  </r>
  <r>
    <n v="10940"/>
    <d v="2025-12-09T00:00:00"/>
    <n v="1404"/>
    <n v="65"/>
    <x v="54"/>
    <x v="0"/>
    <s v="Plzeňský"/>
    <x v="11"/>
  </r>
  <r>
    <n v="10941"/>
    <d v="2025-12-05T00:00:00"/>
    <n v="14754.75"/>
    <n v="21"/>
    <x v="23"/>
    <x v="1"/>
    <s v="Středočeský"/>
    <x v="11"/>
  </r>
  <r>
    <n v="10942"/>
    <d v="2025-12-14T00:00:00"/>
    <n v="1026"/>
    <n v="41"/>
    <x v="65"/>
    <x v="0"/>
    <s v="Praha"/>
    <x v="11"/>
  </r>
  <r>
    <n v="10943"/>
    <d v="2025-12-13T00:00:00"/>
    <n v="2287.5"/>
    <n v="50"/>
    <x v="8"/>
    <x v="0"/>
    <s v="Středočeský"/>
    <x v="11"/>
  </r>
  <r>
    <n v="10944"/>
    <d v="2025-12-06T00:00:00"/>
    <n v="8679"/>
    <n v="29"/>
    <x v="9"/>
    <x v="1"/>
    <s v="Praha"/>
    <x v="11"/>
  </r>
  <r>
    <n v="10945"/>
    <d v="2025-12-22T00:00:00"/>
    <n v="2709.5"/>
    <n v="37"/>
    <x v="3"/>
    <x v="0"/>
    <s v="Jihočeský"/>
    <x v="11"/>
  </r>
  <r>
    <n v="10946"/>
    <d v="2025-12-15T00:00:00"/>
    <n v="1357.25"/>
    <n v="47"/>
    <x v="53"/>
    <x v="0"/>
    <s v="Plzeňský"/>
    <x v="11"/>
  </r>
  <r>
    <n v="10947"/>
    <d v="2025-12-25T00:00:00"/>
    <n v="8505.25"/>
    <n v="30"/>
    <x v="55"/>
    <x v="1"/>
    <s v="Praha"/>
    <x v="11"/>
  </r>
  <r>
    <n v="10948"/>
    <d v="2025-12-17T00:00:00"/>
    <n v="11678.5"/>
    <n v="5"/>
    <x v="5"/>
    <x v="1"/>
    <s v="Plzeňský"/>
    <x v="11"/>
  </r>
  <r>
    <n v="10949"/>
    <d v="2025-12-11T00:00:00"/>
    <n v="2590.75"/>
    <n v="69"/>
    <x v="30"/>
    <x v="0"/>
    <s v="Plzeňský"/>
    <x v="11"/>
  </r>
  <r>
    <n v="10950"/>
    <d v="2025-12-23T00:00:00"/>
    <n v="17835.5"/>
    <n v="16"/>
    <x v="7"/>
    <x v="1"/>
    <s v="Praha"/>
    <x v="11"/>
  </r>
  <r>
    <n v="10951"/>
    <d v="2025-12-23T00:00:00"/>
    <n v="11771.5"/>
    <n v="30"/>
    <x v="55"/>
    <x v="1"/>
    <s v="Praha"/>
    <x v="11"/>
  </r>
  <r>
    <n v="10952"/>
    <d v="2025-12-18T00:00:00"/>
    <n v="1823"/>
    <n v="16"/>
    <x v="7"/>
    <x v="1"/>
    <s v="Praha"/>
    <x v="11"/>
  </r>
  <r>
    <n v="10953"/>
    <d v="2025-12-11T00:00:00"/>
    <n v="7697.25"/>
    <n v="27"/>
    <x v="20"/>
    <x v="1"/>
    <s v="Plzeňský"/>
    <x v="11"/>
  </r>
  <r>
    <n v="10954"/>
    <d v="2025-12-01T00:00:00"/>
    <n v="3461.5"/>
    <n v="5"/>
    <x v="5"/>
    <x v="1"/>
    <s v="Plzeňský"/>
    <x v="11"/>
  </r>
  <r>
    <n v="10955"/>
    <d v="2025-12-20T00:00:00"/>
    <n v="8459"/>
    <n v="28"/>
    <x v="64"/>
    <x v="1"/>
    <s v="Jihočeský"/>
    <x v="11"/>
  </r>
  <r>
    <n v="10956"/>
    <d v="2025-12-09T00:00:00"/>
    <n v="1947.25"/>
    <n v="6"/>
    <x v="34"/>
    <x v="1"/>
    <s v="Plzeňský"/>
    <x v="11"/>
  </r>
  <r>
    <n v="10957"/>
    <d v="2025-12-30T00:00:00"/>
    <n v="1877"/>
    <n v="19"/>
    <x v="24"/>
    <x v="1"/>
    <s v="Praha"/>
    <x v="11"/>
  </r>
  <r>
    <n v="10958"/>
    <d v="2025-12-11T00:00:00"/>
    <n v="14873.75"/>
    <n v="4"/>
    <x v="12"/>
    <x v="1"/>
    <s v="Středočeský"/>
    <x v="11"/>
  </r>
  <r>
    <n v="10959"/>
    <d v="2025-12-16T00:00:00"/>
    <n v="566"/>
    <n v="75"/>
    <x v="70"/>
    <x v="0"/>
    <s v="Plzeňský"/>
    <x v="11"/>
  </r>
  <r>
    <n v="10960"/>
    <d v="2025-12-31T00:00:00"/>
    <n v="3717.75"/>
    <n v="12"/>
    <x v="60"/>
    <x v="1"/>
    <s v="Středočeský"/>
    <x v="11"/>
  </r>
  <r>
    <n v="10961"/>
    <d v="2025-12-27T00:00:00"/>
    <n v="2056.75"/>
    <n v="31"/>
    <x v="62"/>
    <x v="0"/>
    <s v="Středočeský"/>
    <x v="11"/>
  </r>
  <r>
    <n v="10962"/>
    <d v="2025-12-17T00:00:00"/>
    <n v="17768.25"/>
    <n v="19"/>
    <x v="24"/>
    <x v="1"/>
    <s v="Praha"/>
    <x v="11"/>
  </r>
  <r>
    <n v="10963"/>
    <d v="2025-12-07T00:00:00"/>
    <n v="8674.75"/>
    <n v="26"/>
    <x v="33"/>
    <x v="1"/>
    <s v="Jihočeský"/>
    <x v="11"/>
  </r>
  <r>
    <n v="10964"/>
    <d v="2025-12-04T00:00:00"/>
    <n v="8436.5"/>
    <n v="2"/>
    <x v="32"/>
    <x v="1"/>
    <s v="Praha"/>
    <x v="11"/>
  </r>
  <r>
    <n v="10965"/>
    <d v="2025-12-06T00:00:00"/>
    <n v="11610"/>
    <n v="12"/>
    <x v="60"/>
    <x v="1"/>
    <s v="Středočeský"/>
    <x v="11"/>
  </r>
  <r>
    <n v="10966"/>
    <d v="2025-12-09T00:00:00"/>
    <n v="17599"/>
    <n v="15"/>
    <x v="37"/>
    <x v="1"/>
    <s v="Praha"/>
    <x v="11"/>
  </r>
  <r>
    <n v="10967"/>
    <d v="2025-12-02T00:00:00"/>
    <n v="1832.5"/>
    <n v="47"/>
    <x v="53"/>
    <x v="0"/>
    <s v="Plzeňský"/>
    <x v="11"/>
  </r>
  <r>
    <n v="10968"/>
    <d v="2025-12-26T00:00:00"/>
    <n v="1208.5"/>
    <n v="55"/>
    <x v="48"/>
    <x v="0"/>
    <s v="Plzeňský"/>
    <x v="11"/>
  </r>
  <r>
    <n v="10969"/>
    <d v="2025-12-09T00:00:00"/>
    <n v="2074.25"/>
    <n v="1"/>
    <x v="40"/>
    <x v="1"/>
    <s v="Plzeňský"/>
    <x v="11"/>
  </r>
  <r>
    <n v="10970"/>
    <d v="2025-12-07T00:00:00"/>
    <n v="10550.75"/>
    <n v="14"/>
    <x v="28"/>
    <x v="1"/>
    <s v="Praha"/>
    <x v="11"/>
  </r>
  <r>
    <n v="10971"/>
    <d v="2025-12-12T00:00:00"/>
    <n v="5091"/>
    <n v="6"/>
    <x v="34"/>
    <x v="1"/>
    <s v="Plzeňský"/>
    <x v="11"/>
  </r>
  <r>
    <n v="10972"/>
    <d v="2025-12-13T00:00:00"/>
    <n v="8294"/>
    <n v="4"/>
    <x v="12"/>
    <x v="1"/>
    <s v="Středočeský"/>
    <x v="11"/>
  </r>
  <r>
    <n v="10973"/>
    <d v="2025-12-07T00:00:00"/>
    <n v="3365.25"/>
    <n v="6"/>
    <x v="34"/>
    <x v="1"/>
    <s v="Plzeňský"/>
    <x v="11"/>
  </r>
  <r>
    <n v="10974"/>
    <d v="2025-12-31T00:00:00"/>
    <n v="3280.5"/>
    <n v="21"/>
    <x v="23"/>
    <x v="1"/>
    <s v="Středočeský"/>
    <x v="11"/>
  </r>
  <r>
    <n v="10975"/>
    <d v="2025-12-24T00:00:00"/>
    <n v="14781.75"/>
    <n v="7"/>
    <x v="51"/>
    <x v="1"/>
    <s v="Praha"/>
    <x v="11"/>
  </r>
  <r>
    <n v="10976"/>
    <d v="2025-12-15T00:00:00"/>
    <n v="9058.75"/>
    <n v="28"/>
    <x v="64"/>
    <x v="1"/>
    <s v="Jihočeský"/>
    <x v="11"/>
  </r>
  <r>
    <n v="10977"/>
    <d v="2025-12-06T00:00:00"/>
    <n v="593"/>
    <n v="33"/>
    <x v="6"/>
    <x v="0"/>
    <s v="Praha"/>
    <x v="11"/>
  </r>
  <r>
    <n v="10978"/>
    <d v="2025-12-07T00:00:00"/>
    <n v="17867.25"/>
    <n v="4"/>
    <x v="12"/>
    <x v="1"/>
    <s v="Středočeský"/>
    <x v="11"/>
  </r>
  <r>
    <n v="10979"/>
    <d v="2025-12-24T00:00:00"/>
    <n v="11213.25"/>
    <n v="4"/>
    <x v="12"/>
    <x v="1"/>
    <s v="Středočeský"/>
    <x v="11"/>
  </r>
  <r>
    <n v="10980"/>
    <d v="2025-12-19T00:00:00"/>
    <n v="13558"/>
    <n v="2"/>
    <x v="32"/>
    <x v="1"/>
    <s v="Praha"/>
    <x v="11"/>
  </r>
  <r>
    <n v="10981"/>
    <d v="2025-12-08T00:00:00"/>
    <n v="2195"/>
    <n v="61"/>
    <x v="19"/>
    <x v="0"/>
    <s v="Středočeský"/>
    <x v="11"/>
  </r>
  <r>
    <n v="10982"/>
    <d v="2025-12-19T00:00:00"/>
    <n v="2931.75"/>
    <n v="4"/>
    <x v="12"/>
    <x v="1"/>
    <s v="Středočeský"/>
    <x v="11"/>
  </r>
  <r>
    <n v="10983"/>
    <d v="2025-12-03T00:00:00"/>
    <n v="2155.75"/>
    <n v="46"/>
    <x v="4"/>
    <x v="0"/>
    <s v="Středočeský"/>
    <x v="11"/>
  </r>
  <r>
    <n v="10984"/>
    <d v="2025-12-10T00:00:00"/>
    <n v="458"/>
    <n v="36"/>
    <x v="68"/>
    <x v="0"/>
    <s v="Středočeský"/>
    <x v="11"/>
  </r>
  <r>
    <n v="10985"/>
    <d v="2025-12-23T00:00:00"/>
    <n v="5485.5"/>
    <n v="5"/>
    <x v="5"/>
    <x v="1"/>
    <s v="Plzeňský"/>
    <x v="11"/>
  </r>
  <r>
    <n v="10986"/>
    <d v="2025-12-17T00:00:00"/>
    <n v="1831"/>
    <n v="76"/>
    <x v="2"/>
    <x v="0"/>
    <s v="Jihočeský"/>
    <x v="11"/>
  </r>
  <r>
    <n v="10987"/>
    <d v="2025-12-14T00:00:00"/>
    <n v="893.75"/>
    <n v="50"/>
    <x v="8"/>
    <x v="0"/>
    <s v="Středočeský"/>
    <x v="11"/>
  </r>
  <r>
    <n v="10988"/>
    <d v="2025-12-19T00:00:00"/>
    <n v="252"/>
    <n v="40"/>
    <x v="43"/>
    <x v="0"/>
    <s v="Plzeňský"/>
    <x v="11"/>
  </r>
  <r>
    <n v="10989"/>
    <d v="2025-12-20T00:00:00"/>
    <n v="951.5"/>
    <n v="75"/>
    <x v="70"/>
    <x v="0"/>
    <s v="Plzeňský"/>
    <x v="11"/>
  </r>
  <r>
    <n v="10990"/>
    <d v="2025-12-09T00:00:00"/>
    <n v="7462.5"/>
    <n v="14"/>
    <x v="28"/>
    <x v="1"/>
    <s v="Praha"/>
    <x v="11"/>
  </r>
  <r>
    <n v="10991"/>
    <d v="2025-12-20T00:00:00"/>
    <n v="2361.75"/>
    <n v="48"/>
    <x v="59"/>
    <x v="0"/>
    <s v="Středočeský"/>
    <x v="11"/>
  </r>
  <r>
    <n v="10992"/>
    <d v="2025-12-24T00:00:00"/>
    <n v="4259"/>
    <n v="4"/>
    <x v="12"/>
    <x v="1"/>
    <s v="Středočeský"/>
    <x v="11"/>
  </r>
  <r>
    <n v="10993"/>
    <d v="2025-12-15T00:00:00"/>
    <n v="17369"/>
    <n v="7"/>
    <x v="51"/>
    <x v="1"/>
    <s v="Praha"/>
    <x v="11"/>
  </r>
  <r>
    <n v="10994"/>
    <d v="2025-12-05T00:00:00"/>
    <n v="16678.25"/>
    <n v="19"/>
    <x v="24"/>
    <x v="1"/>
    <s v="Praha"/>
    <x v="11"/>
  </r>
  <r>
    <n v="10995"/>
    <d v="2025-12-27T00:00:00"/>
    <n v="16129"/>
    <n v="27"/>
    <x v="20"/>
    <x v="1"/>
    <s v="Plzeňský"/>
    <x v="11"/>
  </r>
  <r>
    <n v="10996"/>
    <d v="2025-12-27T00:00:00"/>
    <n v="4710.25"/>
    <n v="4"/>
    <x v="12"/>
    <x v="1"/>
    <s v="Středočeský"/>
    <x v="11"/>
  </r>
  <r>
    <n v="10997"/>
    <d v="2025-12-27T00:00:00"/>
    <n v="11772.5"/>
    <n v="4"/>
    <x v="12"/>
    <x v="1"/>
    <s v="Středočeský"/>
    <x v="11"/>
  </r>
  <r>
    <n v="10998"/>
    <d v="2025-12-14T00:00:00"/>
    <n v="1237.75"/>
    <n v="75"/>
    <x v="70"/>
    <x v="0"/>
    <s v="Plzeňský"/>
    <x v="11"/>
  </r>
  <r>
    <n v="10999"/>
    <d v="2025-12-25T00:00:00"/>
    <n v="6967.75"/>
    <n v="13"/>
    <x v="36"/>
    <x v="1"/>
    <s v="Jihočeský"/>
    <x v="11"/>
  </r>
  <r>
    <n v="11000"/>
    <d v="2025-12-27T00:00:00"/>
    <n v="15978.75"/>
    <n v="8"/>
    <x v="27"/>
    <x v="1"/>
    <s v="Středočeský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34E23-0A38-4384-8CA5-05A1ABAFEE32}" name="Kontingenční tabulka2" cacheId="4" applyNumberFormats="0" applyBorderFormats="0" applyFontFormats="0" applyPatternFormats="0" applyAlignmentFormats="0" applyWidthHeightFormats="1" dataCaption="Hodnoty" grandTotalCaption="Celkem" updatedVersion="8" minRefreshableVersion="3" useAutoFormatting="1" itemPrintTitles="1" createdVersion="8" indent="0" outline="1" outlineData="1" multipleFieldFilters="0" chartFormat="3" rowHeaderCaption="Měsíc">
  <location ref="J19:M32" firstHeaderRow="0" firstDataRow="1" firstDataCol="1"/>
  <pivotFields count="8">
    <pivotField dataField="1"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ržby" fld="2" baseField="0" baseItem="0" numFmtId="164"/>
    <dataField name="Objednávky" fld="0" subtotal="count" baseField="7" baseItem="0"/>
    <dataField name="Průměrná objednávka" fld="2" subtotal="average" baseField="7" baseItem="0" numFmtId="164"/>
  </dataFields>
  <formats count="5">
    <format dxfId="23">
      <pivotArea collapsedLevelsAreSubtotals="1" fieldPosition="0">
        <references count="2">
          <reference field="4294967294" count="1" selected="0">
            <x v="2"/>
          </reference>
          <reference field="7" count="0"/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09FD7-0CB1-4D96-B990-4A9F5E41F423}" name="Kontingenční tabulka1" cacheId="4" applyNumberFormats="0" applyBorderFormats="0" applyFontFormats="0" applyPatternFormats="0" applyAlignmentFormats="0" applyWidthHeightFormats="1" dataCaption="Hodnoty" grandTotalCaption="Celkem" updatedVersion="8" minRefreshableVersion="3" useAutoFormatting="1" itemPrintTitles="1" createdVersion="8" indent="0" outline="1" outlineData="1" multipleFieldFilters="0" chartFormat="3" rowHeaderCaption="Měsíc">
  <location ref="J3:K16" firstHeaderRow="1" firstDataRow="1" firstDataCol="1"/>
  <pivotFields count="8">
    <pivotField showAll="0"/>
    <pivotField numFmtId="14" showAll="0"/>
    <pivotField dataField="1"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ržby" fld="2" baseField="0" baseItem="0" numFmtId="164"/>
  </dataFields>
  <formats count="4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5EF95D-BF90-4690-8B88-82DA07B43A7C}" name="Kontingenční tabulka1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2" rowHeaderCaption="Segment">
  <location ref="J3:N6" firstHeaderRow="0" firstDataRow="1" firstDataCol="1"/>
  <pivotFields count="8">
    <pivotField dataField="1" showAll="0"/>
    <pivotField numFmtId="14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Objednávky" fld="0" subtotal="count" baseField="5" baseItem="0"/>
    <dataField name="Tržby" fld="2" baseField="0" baseItem="0" numFmtId="164"/>
    <dataField name="Průměrná objednávka" fld="2" subtotal="average" baseField="5" baseItem="0" numFmtId="164"/>
    <dataField name="Podíl na tržbách" fld="2" showDataAs="percentOfTotal" baseField="5" baseItem="0" numFmtId="10"/>
  </dataFields>
  <formats count="3">
    <format dxfId="14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2">
      <pivotArea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6F001-296E-4E7F-BD1C-B40909AC5C9D}" name="Kontingenční tabulka3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D5:E9" firstHeaderRow="1" firstDataRow="1" firstDataCol="1" rowPageCount="1" colPageCount="1"/>
  <pivotFields count="8">
    <pivotField showAll="0"/>
    <pivotField numFmtId="14" showAll="0"/>
    <pivotField dataField="1" showAll="0"/>
    <pivotField showAll="0"/>
    <pivotField axis="axisRow" showAll="0" measureFilter="1" sortType="descending">
      <items count="77">
        <item x="40"/>
        <item x="32"/>
        <item x="13"/>
        <item x="12"/>
        <item x="5"/>
        <item x="34"/>
        <item x="51"/>
        <item x="27"/>
        <item x="42"/>
        <item x="49"/>
        <item x="17"/>
        <item x="60"/>
        <item x="36"/>
        <item x="28"/>
        <item x="37"/>
        <item x="7"/>
        <item x="58"/>
        <item x="56"/>
        <item x="24"/>
        <item x="16"/>
        <item x="23"/>
        <item x="45"/>
        <item x="73"/>
        <item x="57"/>
        <item x="52"/>
        <item x="33"/>
        <item x="20"/>
        <item x="64"/>
        <item x="9"/>
        <item x="55"/>
        <item x="62"/>
        <item x="50"/>
        <item x="6"/>
        <item x="10"/>
        <item x="26"/>
        <item x="68"/>
        <item x="3"/>
        <item x="38"/>
        <item x="11"/>
        <item x="43"/>
        <item x="65"/>
        <item x="0"/>
        <item x="75"/>
        <item x="63"/>
        <item x="47"/>
        <item x="4"/>
        <item x="53"/>
        <item x="59"/>
        <item x="15"/>
        <item x="8"/>
        <item x="22"/>
        <item x="46"/>
        <item x="67"/>
        <item x="39"/>
        <item x="48"/>
        <item x="29"/>
        <item x="1"/>
        <item x="69"/>
        <item x="71"/>
        <item x="74"/>
        <item x="19"/>
        <item x="14"/>
        <item x="41"/>
        <item x="31"/>
        <item x="54"/>
        <item x="44"/>
        <item x="21"/>
        <item x="66"/>
        <item x="30"/>
        <item x="72"/>
        <item x="25"/>
        <item x="61"/>
        <item x="35"/>
        <item x="18"/>
        <item x="7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Segment" axis="axisPage" showAll="0">
      <items count="3">
        <item x="1"/>
        <item x="0"/>
        <item t="default"/>
      </items>
    </pivotField>
    <pivotField showAll="0"/>
    <pivotField showAll="0"/>
  </pivotFields>
  <rowFields count="1">
    <field x="4"/>
  </rowFields>
  <rowItems count="4">
    <i>
      <x v="73"/>
    </i>
    <i>
      <x v="71"/>
    </i>
    <i>
      <x v="44"/>
    </i>
    <i t="grand">
      <x/>
    </i>
  </rowItems>
  <colItems count="1">
    <i/>
  </colItems>
  <pageFields count="1">
    <pageField fld="5" item="1" hier="-1"/>
  </pageFields>
  <dataFields count="1">
    <dataField name="Tržby" fld="2" baseField="0" baseItem="0" numFmtId="164"/>
  </dataFields>
  <formats count="4">
    <format dxfId="10">
      <pivotArea dataOnly="0" labelOnly="1" outline="0" fieldPosition="0">
        <references count="1">
          <reference field="5" count="1">
            <x v="1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5" count="1">
            <x v="1"/>
          </reference>
        </references>
      </pivotArea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69BF9-436A-4D73-A6F1-CC4F2B069367}" name="Kontingenční tabulka2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>
  <location ref="A5:B9" firstHeaderRow="1" firstDataRow="1" firstDataCol="1" rowPageCount="1" colPageCount="1"/>
  <pivotFields count="8">
    <pivotField showAll="0"/>
    <pivotField numFmtId="14" showAll="0"/>
    <pivotField dataField="1" showAll="0"/>
    <pivotField showAll="0"/>
    <pivotField axis="axisRow" showAll="0" measureFilter="1" sortType="descending">
      <items count="77">
        <item x="40"/>
        <item x="32"/>
        <item x="13"/>
        <item x="12"/>
        <item x="5"/>
        <item x="34"/>
        <item x="51"/>
        <item x="27"/>
        <item x="42"/>
        <item x="49"/>
        <item x="17"/>
        <item x="60"/>
        <item x="36"/>
        <item x="28"/>
        <item x="37"/>
        <item x="7"/>
        <item x="58"/>
        <item x="56"/>
        <item x="24"/>
        <item x="16"/>
        <item x="23"/>
        <item x="45"/>
        <item x="73"/>
        <item x="57"/>
        <item x="52"/>
        <item x="33"/>
        <item x="20"/>
        <item x="64"/>
        <item x="9"/>
        <item x="55"/>
        <item x="62"/>
        <item x="50"/>
        <item x="6"/>
        <item x="10"/>
        <item x="26"/>
        <item x="68"/>
        <item x="3"/>
        <item x="38"/>
        <item x="11"/>
        <item x="43"/>
        <item x="65"/>
        <item x="0"/>
        <item x="75"/>
        <item x="63"/>
        <item x="47"/>
        <item x="4"/>
        <item x="53"/>
        <item x="59"/>
        <item x="15"/>
        <item x="8"/>
        <item x="22"/>
        <item x="46"/>
        <item x="67"/>
        <item x="39"/>
        <item x="48"/>
        <item x="29"/>
        <item x="1"/>
        <item x="69"/>
        <item x="71"/>
        <item x="74"/>
        <item x="19"/>
        <item x="14"/>
        <item x="41"/>
        <item x="31"/>
        <item x="54"/>
        <item x="44"/>
        <item x="21"/>
        <item x="66"/>
        <item x="30"/>
        <item x="72"/>
        <item x="25"/>
        <item x="61"/>
        <item x="35"/>
        <item x="18"/>
        <item x="7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Segment" axis="axisPage" showAll="0">
      <items count="3">
        <item x="1"/>
        <item x="0"/>
        <item t="default"/>
      </items>
    </pivotField>
    <pivotField showAll="0"/>
    <pivotField showAll="0"/>
  </pivotFields>
  <rowFields count="1">
    <field x="4"/>
  </rowFields>
  <rowItems count="4">
    <i>
      <x v="3"/>
    </i>
    <i>
      <x v="26"/>
    </i>
    <i>
      <x v="12"/>
    </i>
    <i t="grand">
      <x/>
    </i>
  </rowItems>
  <colItems count="1">
    <i/>
  </colItems>
  <pageFields count="1">
    <pageField fld="5" item="0" hier="-1"/>
  </pageFields>
  <dataFields count="1">
    <dataField name="Tržby" fld="2" baseField="0" baseItem="0" numFmtId="164"/>
  </dataFields>
  <formats count="4">
    <format dxfId="11">
      <pivotArea dataOnly="0" labelOnly="1" outline="0" fieldPosition="0">
        <references count="1">
          <reference field="5" count="1">
            <x v="0"/>
          </reference>
        </references>
      </pivotArea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5" count="1">
            <x v="0"/>
          </reference>
        </references>
      </pivotArea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111442-1DEE-48F1-9288-E6E0C3814702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order_amount" tableColumnId="3"/>
      <queryTableField id="4" name="customer_id" tableColumnId="4"/>
      <queryTableField id="5" name="customer_name" tableColumnId="5"/>
      <queryTableField id="6" name="customer_type" tableColumnId="6"/>
      <queryTableField id="7" name="region" tableColumnId="7"/>
      <queryTableField id="8" name="Měsíc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5A79A-3C41-4FE9-BE93-3A9C8257106F}" name="Tabulka1" displayName="Tabulka1" ref="A11:D13" totalsRowShown="0">
  <autoFilter ref="A11:D13" xr:uid="{3055A79A-3C41-4FE9-BE93-3A9C8257106F}"/>
  <tableColumns count="4">
    <tableColumn id="1" xr3:uid="{4A85E74F-AD23-4C64-BE8D-56B46A4B73B3}" name="Segment" dataDxfId="3"/>
    <tableColumn id="2" xr3:uid="{C9E08EA3-8E8A-406B-BEDE-9942BC4F93F9}" name="Tržby TOP 3" dataDxfId="2">
      <calculatedColumnFormula>GETPIVOTDATA("order_amount",$D$5)</calculatedColumnFormula>
    </tableColumn>
    <tableColumn id="3" xr3:uid="{C032C5DF-DC16-4E21-87AC-68D48CDD7B6B}" name="Tržby celkem" dataDxfId="1">
      <calculatedColumnFormula>GETPIVOTDATA("Tržby",Segmenty!$J$3,"customer_type","B2C")</calculatedColumnFormula>
    </tableColumn>
    <tableColumn id="4" xr3:uid="{6D409408-9DAE-4044-AC84-28AF2FAA14DD}" name="Podíl TOP 3" dataDxfId="0" dataCellStyle="Procenta">
      <calculatedColumnFormula>B12/C12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B7333F-5C3E-414C-83C5-827088730EB6}" name="objednavky_analyza" displayName="objednavky_analyza" ref="A1:H996" tableType="queryTable" totalsRowShown="0">
  <autoFilter ref="A1:H996" xr:uid="{78B7333F-5C3E-414C-83C5-827088730EB6}"/>
  <tableColumns count="8">
    <tableColumn id="1" xr3:uid="{A3D9F1EF-BDCA-492C-A84A-86C2E984A207}" uniqueName="1" name="order_id" queryTableFieldId="1"/>
    <tableColumn id="2" xr3:uid="{930472CD-5E72-49B2-B6AA-DEDAC16CECFF}" uniqueName="2" name="order_date" queryTableFieldId="2" dataDxfId="18"/>
    <tableColumn id="3" xr3:uid="{996398EF-B312-42B3-9A22-263D9B34E502}" uniqueName="3" name="order_amount" queryTableFieldId="3"/>
    <tableColumn id="4" xr3:uid="{C0B55CE7-6A43-4C49-952B-DABD794BAB27}" uniqueName="4" name="customer_id" queryTableFieldId="4"/>
    <tableColumn id="5" xr3:uid="{BA793280-F4F3-48B6-914C-DA9961F3E213}" uniqueName="5" name="customer_name" queryTableFieldId="5" dataDxfId="17"/>
    <tableColumn id="6" xr3:uid="{AB600E86-B413-405F-8893-E8B4CC63B55E}" uniqueName="6" name="customer_type" queryTableFieldId="6" dataDxfId="16"/>
    <tableColumn id="7" xr3:uid="{4AF77B1A-5FD3-464E-A86E-5B26D498AB8B}" uniqueName="7" name="region" queryTableFieldId="7" dataDxfId="15"/>
    <tableColumn id="8" xr3:uid="{3554E381-2E9D-4918-990D-4AF26CFE9049}" uniqueName="8" name="Měsíc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832-651E-4507-A10E-94EE799B9C0C}">
  <sheetPr>
    <tabColor rgb="FF92D050"/>
  </sheetPr>
  <dimension ref="A1:O41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4.4"/>
  <cols>
    <col min="10" max="10" width="8.109375" bestFit="1" customWidth="1"/>
    <col min="11" max="11" width="13.77734375" style="8" bestFit="1" customWidth="1"/>
    <col min="12" max="12" width="14.33203125" bestFit="1" customWidth="1"/>
    <col min="13" max="13" width="19.33203125" style="8" bestFit="1" customWidth="1"/>
    <col min="14" max="14" width="10.44140625" bestFit="1" customWidth="1"/>
    <col min="15" max="15" width="10.77734375" style="11" bestFit="1" customWidth="1"/>
  </cols>
  <sheetData>
    <row r="1" spans="1:11" ht="17.399999999999999">
      <c r="A1" s="19" t="s">
        <v>147</v>
      </c>
    </row>
    <row r="3" spans="1:11">
      <c r="J3" s="2" t="s">
        <v>7</v>
      </c>
      <c r="K3" s="8" t="s">
        <v>91</v>
      </c>
    </row>
    <row r="4" spans="1:11">
      <c r="J4" s="3">
        <v>1</v>
      </c>
      <c r="K4" s="8">
        <v>303907.25</v>
      </c>
    </row>
    <row r="5" spans="1:11">
      <c r="J5" s="3">
        <v>2</v>
      </c>
      <c r="K5" s="8">
        <v>356298.25</v>
      </c>
    </row>
    <row r="6" spans="1:11">
      <c r="J6" s="3">
        <v>3</v>
      </c>
      <c r="K6" s="8">
        <v>342990</v>
      </c>
    </row>
    <row r="7" spans="1:11">
      <c r="J7" s="3">
        <v>4</v>
      </c>
      <c r="K7" s="8">
        <v>412273.5</v>
      </c>
    </row>
    <row r="8" spans="1:11">
      <c r="J8" s="3">
        <v>5</v>
      </c>
      <c r="K8" s="8">
        <v>429765.25</v>
      </c>
    </row>
    <row r="9" spans="1:11">
      <c r="J9" s="3">
        <v>6</v>
      </c>
      <c r="K9" s="8">
        <v>400114.75</v>
      </c>
    </row>
    <row r="10" spans="1:11">
      <c r="J10" s="3">
        <v>7</v>
      </c>
      <c r="K10" s="8">
        <v>351043.5</v>
      </c>
    </row>
    <row r="11" spans="1:11">
      <c r="J11" s="3">
        <v>8</v>
      </c>
      <c r="K11" s="8">
        <v>263936.5</v>
      </c>
    </row>
    <row r="12" spans="1:11">
      <c r="J12" s="3">
        <v>9</v>
      </c>
      <c r="K12" s="8">
        <v>462648.5</v>
      </c>
    </row>
    <row r="13" spans="1:11">
      <c r="J13" s="3">
        <v>10</v>
      </c>
      <c r="K13" s="8">
        <v>608842.75</v>
      </c>
    </row>
    <row r="14" spans="1:11">
      <c r="J14" s="3">
        <v>11</v>
      </c>
      <c r="K14" s="8">
        <v>458593</v>
      </c>
    </row>
    <row r="15" spans="1:11">
      <c r="J15" s="3">
        <v>12</v>
      </c>
      <c r="K15" s="8">
        <v>610328.5</v>
      </c>
    </row>
    <row r="16" spans="1:11">
      <c r="J16" s="3" t="s">
        <v>93</v>
      </c>
      <c r="K16" s="8">
        <v>5000741.75</v>
      </c>
    </row>
    <row r="19" spans="10:15">
      <c r="J19" s="2" t="s">
        <v>7</v>
      </c>
      <c r="K19" s="8" t="s">
        <v>91</v>
      </c>
      <c r="L19" t="s">
        <v>92</v>
      </c>
      <c r="M19" s="8" t="s">
        <v>109</v>
      </c>
      <c r="N19" s="8" t="str">
        <f>K19</f>
        <v>Tržby</v>
      </c>
      <c r="O19" s="11" t="str">
        <f t="shared" ref="O19:O31" si="0">L19</f>
        <v>Objednávky</v>
      </c>
    </row>
    <row r="20" spans="10:15">
      <c r="J20" s="3">
        <v>1</v>
      </c>
      <c r="K20" s="8">
        <v>303907.25</v>
      </c>
      <c r="L20">
        <v>65</v>
      </c>
      <c r="M20" s="8">
        <v>4675.4961538461539</v>
      </c>
      <c r="N20" s="8">
        <f t="shared" ref="N20:N31" si="1">K20</f>
        <v>303907.25</v>
      </c>
      <c r="O20" s="11">
        <f t="shared" si="0"/>
        <v>65</v>
      </c>
    </row>
    <row r="21" spans="10:15">
      <c r="J21" s="3">
        <v>2</v>
      </c>
      <c r="K21" s="8">
        <v>356298.25</v>
      </c>
      <c r="L21">
        <v>62</v>
      </c>
      <c r="M21" s="8">
        <v>5746.7459677419356</v>
      </c>
      <c r="N21" s="8">
        <f t="shared" si="1"/>
        <v>356298.25</v>
      </c>
      <c r="O21" s="11">
        <f t="shared" si="0"/>
        <v>62</v>
      </c>
    </row>
    <row r="22" spans="10:15">
      <c r="J22" s="3">
        <v>3</v>
      </c>
      <c r="K22" s="8">
        <v>342990</v>
      </c>
      <c r="L22">
        <v>74</v>
      </c>
      <c r="M22" s="8">
        <v>4635</v>
      </c>
      <c r="N22" s="8">
        <f t="shared" si="1"/>
        <v>342990</v>
      </c>
      <c r="O22" s="11">
        <f t="shared" si="0"/>
        <v>74</v>
      </c>
    </row>
    <row r="23" spans="10:15">
      <c r="J23" s="3">
        <v>4</v>
      </c>
      <c r="K23" s="8">
        <v>412273.5</v>
      </c>
      <c r="L23">
        <v>77</v>
      </c>
      <c r="M23" s="8">
        <v>5354.2012987012986</v>
      </c>
      <c r="N23" s="8">
        <f t="shared" si="1"/>
        <v>412273.5</v>
      </c>
      <c r="O23" s="11">
        <f t="shared" si="0"/>
        <v>77</v>
      </c>
    </row>
    <row r="24" spans="10:15">
      <c r="J24" s="3">
        <v>5</v>
      </c>
      <c r="K24" s="8">
        <v>429765.25</v>
      </c>
      <c r="L24">
        <v>80</v>
      </c>
      <c r="M24" s="8">
        <v>5372.0656250000002</v>
      </c>
      <c r="N24" s="8">
        <f t="shared" si="1"/>
        <v>429765.25</v>
      </c>
      <c r="O24" s="11">
        <f t="shared" si="0"/>
        <v>80</v>
      </c>
    </row>
    <row r="25" spans="10:15">
      <c r="J25" s="3">
        <v>6</v>
      </c>
      <c r="K25" s="8">
        <v>400114.75</v>
      </c>
      <c r="L25">
        <v>82</v>
      </c>
      <c r="M25" s="8">
        <v>4879.4481707317073</v>
      </c>
      <c r="N25" s="8">
        <f t="shared" si="1"/>
        <v>400114.75</v>
      </c>
      <c r="O25" s="11">
        <f t="shared" si="0"/>
        <v>82</v>
      </c>
    </row>
    <row r="26" spans="10:15">
      <c r="J26" s="3">
        <v>7</v>
      </c>
      <c r="K26" s="8">
        <v>351043.5</v>
      </c>
      <c r="L26">
        <v>68</v>
      </c>
      <c r="M26" s="8">
        <v>5162.4044117647063</v>
      </c>
      <c r="N26" s="8">
        <f t="shared" si="1"/>
        <v>351043.5</v>
      </c>
      <c r="O26" s="11">
        <f t="shared" si="0"/>
        <v>68</v>
      </c>
    </row>
    <row r="27" spans="10:15">
      <c r="J27" s="3">
        <v>8</v>
      </c>
      <c r="K27" s="8">
        <v>263936.5</v>
      </c>
      <c r="L27">
        <v>70</v>
      </c>
      <c r="M27" s="8">
        <v>3770.5214285714287</v>
      </c>
      <c r="N27" s="8">
        <f t="shared" si="1"/>
        <v>263936.5</v>
      </c>
      <c r="O27" s="11">
        <f t="shared" si="0"/>
        <v>70</v>
      </c>
    </row>
    <row r="28" spans="10:15">
      <c r="J28" s="3">
        <v>9</v>
      </c>
      <c r="K28" s="8">
        <v>462648.5</v>
      </c>
      <c r="L28">
        <v>92</v>
      </c>
      <c r="M28" s="8">
        <v>5028.788043478261</v>
      </c>
      <c r="N28" s="8">
        <f t="shared" si="1"/>
        <v>462648.5</v>
      </c>
      <c r="O28" s="11">
        <f t="shared" si="0"/>
        <v>92</v>
      </c>
    </row>
    <row r="29" spans="10:15">
      <c r="J29" s="3">
        <v>10</v>
      </c>
      <c r="K29" s="8">
        <v>608842.75</v>
      </c>
      <c r="L29">
        <v>100</v>
      </c>
      <c r="M29" s="8">
        <v>6088.4274999999998</v>
      </c>
      <c r="N29" s="8">
        <f t="shared" si="1"/>
        <v>608842.75</v>
      </c>
      <c r="O29" s="11">
        <f t="shared" si="0"/>
        <v>100</v>
      </c>
    </row>
    <row r="30" spans="10:15">
      <c r="J30" s="3">
        <v>11</v>
      </c>
      <c r="K30" s="8">
        <v>458593</v>
      </c>
      <c r="L30">
        <v>114</v>
      </c>
      <c r="M30" s="8">
        <v>4022.7456140350878</v>
      </c>
      <c r="N30" s="8">
        <f t="shared" si="1"/>
        <v>458593</v>
      </c>
      <c r="O30" s="11">
        <f t="shared" si="0"/>
        <v>114</v>
      </c>
    </row>
    <row r="31" spans="10:15">
      <c r="J31" s="3">
        <v>12</v>
      </c>
      <c r="K31" s="8">
        <v>610328.5</v>
      </c>
      <c r="L31">
        <v>111</v>
      </c>
      <c r="M31" s="8">
        <v>5498.4549549549547</v>
      </c>
      <c r="N31" s="8">
        <f t="shared" si="1"/>
        <v>610328.5</v>
      </c>
      <c r="O31" s="11">
        <f t="shared" si="0"/>
        <v>111</v>
      </c>
    </row>
    <row r="32" spans="10:15">
      <c r="J32" s="3" t="s">
        <v>93</v>
      </c>
      <c r="K32" s="8">
        <v>5000741.75</v>
      </c>
      <c r="L32">
        <v>995</v>
      </c>
      <c r="M32" s="8">
        <v>5025.8711055276381</v>
      </c>
    </row>
    <row r="35" spans="1:1">
      <c r="A35" s="10" t="s">
        <v>116</v>
      </c>
    </row>
    <row r="36" spans="1:1">
      <c r="A36" t="s">
        <v>117</v>
      </c>
    </row>
    <row r="37" spans="1:1">
      <c r="A37" t="s">
        <v>118</v>
      </c>
    </row>
    <row r="38" spans="1:1">
      <c r="A38" t="s">
        <v>121</v>
      </c>
    </row>
    <row r="39" spans="1:1">
      <c r="A39" t="s">
        <v>119</v>
      </c>
    </row>
    <row r="40" spans="1:1">
      <c r="A40" t="s">
        <v>120</v>
      </c>
    </row>
    <row r="41" spans="1:1">
      <c r="A41" t="s">
        <v>122</v>
      </c>
    </row>
  </sheetData>
  <pageMargins left="0.7" right="0.7" top="0.78740157499999996" bottom="0.78740157499999996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D409-2860-4CE5-9B5C-A2BEAE701DC3}">
  <sheetPr>
    <tabColor rgb="FF92D050"/>
  </sheetPr>
  <dimension ref="A1:B49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24.33203125" bestFit="1" customWidth="1"/>
    <col min="2" max="2" width="17.44140625" bestFit="1" customWidth="1"/>
  </cols>
  <sheetData>
    <row r="1" spans="1:2" ht="17.399999999999999">
      <c r="A1" s="19" t="s">
        <v>146</v>
      </c>
    </row>
    <row r="2" spans="1:2" ht="15" thickBot="1"/>
    <row r="3" spans="1:2">
      <c r="A3" s="9" t="s">
        <v>91</v>
      </c>
      <c r="B3" s="5"/>
    </row>
    <row r="5" spans="1:2">
      <c r="A5" s="7" t="s">
        <v>94</v>
      </c>
      <c r="B5" s="7">
        <v>416728.47916666669</v>
      </c>
    </row>
    <row r="6" spans="1:2">
      <c r="A6" t="s">
        <v>95</v>
      </c>
      <c r="B6">
        <v>31163.508041507241</v>
      </c>
    </row>
    <row r="7" spans="1:2">
      <c r="A7" s="7" t="s">
        <v>96</v>
      </c>
      <c r="B7" s="7">
        <v>406194.125</v>
      </c>
    </row>
    <row r="8" spans="1:2">
      <c r="A8" t="s">
        <v>97</v>
      </c>
      <c r="B8" t="e">
        <v>#N/A</v>
      </c>
    </row>
    <row r="9" spans="1:2">
      <c r="A9" s="7" t="s">
        <v>98</v>
      </c>
      <c r="B9" s="7">
        <v>107953.55853994362</v>
      </c>
    </row>
    <row r="10" spans="1:2">
      <c r="A10" t="s">
        <v>99</v>
      </c>
      <c r="B10">
        <v>11653970801.437035</v>
      </c>
    </row>
    <row r="11" spans="1:2">
      <c r="A11" t="s">
        <v>100</v>
      </c>
      <c r="B11">
        <v>7.7546423265479447E-2</v>
      </c>
    </row>
    <row r="12" spans="1:2">
      <c r="A12" s="7" t="s">
        <v>101</v>
      </c>
      <c r="B12" s="7">
        <v>0.74628625995909803</v>
      </c>
    </row>
    <row r="13" spans="1:2">
      <c r="A13" t="s">
        <v>102</v>
      </c>
      <c r="B13">
        <v>346392</v>
      </c>
    </row>
    <row r="14" spans="1:2">
      <c r="A14" s="7" t="s">
        <v>103</v>
      </c>
      <c r="B14" s="7">
        <v>263936.5</v>
      </c>
    </row>
    <row r="15" spans="1:2">
      <c r="A15" s="7" t="s">
        <v>104</v>
      </c>
      <c r="B15" s="7">
        <v>610328.5</v>
      </c>
    </row>
    <row r="16" spans="1:2">
      <c r="A16" s="7" t="s">
        <v>105</v>
      </c>
      <c r="B16" s="7">
        <v>5000741.75</v>
      </c>
    </row>
    <row r="17" spans="1:2">
      <c r="A17" t="s">
        <v>106</v>
      </c>
      <c r="B17">
        <v>12</v>
      </c>
    </row>
    <row r="18" spans="1:2" ht="15" thickBot="1">
      <c r="A18" s="4"/>
      <c r="B18" s="4"/>
    </row>
    <row r="21" spans="1:2">
      <c r="A21" s="10" t="s">
        <v>116</v>
      </c>
    </row>
    <row r="22" spans="1:2">
      <c r="A22" s="7" t="s">
        <v>107</v>
      </c>
    </row>
    <row r="23" spans="1:2">
      <c r="A23" s="7" t="s">
        <v>108</v>
      </c>
    </row>
    <row r="24" spans="1:2">
      <c r="A24" s="6"/>
    </row>
    <row r="25" spans="1:2">
      <c r="A25" s="6" t="s">
        <v>110</v>
      </c>
    </row>
    <row r="26" spans="1:2">
      <c r="A26">
        <f>CORREL(Tržby_objednávky_EDA!K20:K31,Tržby_objednávky_EDA!L20:L31)</f>
        <v>0.83031888369231088</v>
      </c>
    </row>
    <row r="44" spans="1:1">
      <c r="A44" s="10" t="s">
        <v>116</v>
      </c>
    </row>
    <row r="45" spans="1:1">
      <c r="A45" s="7" t="s">
        <v>111</v>
      </c>
    </row>
    <row r="46" spans="1:1">
      <c r="A46" t="s">
        <v>112</v>
      </c>
    </row>
    <row r="47" spans="1:1">
      <c r="A47" s="7" t="s">
        <v>113</v>
      </c>
    </row>
    <row r="48" spans="1:1">
      <c r="A48" s="7" t="s">
        <v>114</v>
      </c>
    </row>
    <row r="49" spans="1:1">
      <c r="A49" t="s">
        <v>115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6D1B-3A21-4FA8-9DD2-717FEE9F4CA0}">
  <sheetPr>
    <tabColor rgb="FF00B0F0"/>
  </sheetPr>
  <dimension ref="A1:N27"/>
  <sheetViews>
    <sheetView showGridLines="0" zoomScaleNormal="100" workbookViewId="0">
      <pane ySplit="1" topLeftCell="A2" activePane="bottomLeft" state="frozen"/>
      <selection pane="bottomLeft" activeCell="Q8" sqref="Q8"/>
    </sheetView>
  </sheetViews>
  <sheetFormatPr defaultRowHeight="14.4"/>
  <cols>
    <col min="10" max="10" width="13.5546875" bestFit="1" customWidth="1"/>
    <col min="11" max="11" width="10.88671875" bestFit="1" customWidth="1"/>
    <col min="12" max="12" width="11.5546875" style="8" bestFit="1" customWidth="1"/>
    <col min="13" max="13" width="19.33203125" style="8" bestFit="1" customWidth="1"/>
    <col min="14" max="14" width="20.109375" bestFit="1" customWidth="1"/>
  </cols>
  <sheetData>
    <row r="1" spans="1:14" ht="17.399999999999999">
      <c r="A1" s="19" t="s">
        <v>145</v>
      </c>
    </row>
    <row r="3" spans="1:14">
      <c r="J3" s="2" t="s">
        <v>125</v>
      </c>
      <c r="K3" t="s">
        <v>92</v>
      </c>
      <c r="L3" s="8" t="s">
        <v>91</v>
      </c>
      <c r="M3" s="8" t="s">
        <v>109</v>
      </c>
      <c r="N3" t="s">
        <v>126</v>
      </c>
    </row>
    <row r="4" spans="1:14">
      <c r="J4" s="3" t="s">
        <v>18</v>
      </c>
      <c r="K4" s="12">
        <v>425</v>
      </c>
      <c r="L4" s="8">
        <v>4136475.75</v>
      </c>
      <c r="M4" s="8">
        <v>9732.8841176470596</v>
      </c>
      <c r="N4" s="13">
        <v>0.82717243896867898</v>
      </c>
    </row>
    <row r="5" spans="1:14">
      <c r="J5" s="3" t="s">
        <v>9</v>
      </c>
      <c r="K5" s="12">
        <v>570</v>
      </c>
      <c r="L5" s="8">
        <v>864266</v>
      </c>
      <c r="M5" s="8">
        <v>1516.2561403508771</v>
      </c>
      <c r="N5" s="13">
        <v>0.17282756103132099</v>
      </c>
    </row>
    <row r="6" spans="1:14">
      <c r="J6" s="3" t="s">
        <v>124</v>
      </c>
      <c r="K6" s="12">
        <v>995</v>
      </c>
      <c r="L6" s="8">
        <v>5000741.75</v>
      </c>
      <c r="M6" s="8">
        <v>5025.8711055276381</v>
      </c>
      <c r="N6" s="13">
        <v>1</v>
      </c>
    </row>
    <row r="8" spans="1:14">
      <c r="J8" s="14" t="s">
        <v>130</v>
      </c>
    </row>
    <row r="9" spans="1:14">
      <c r="J9" s="15" cm="1">
        <f t="array" ref="J9">MEDIAN(_xlfn._xlws.FILTER(objednavky_analyza[order_amount],objednavky_analyza[customer_type]="B2B"))</f>
        <v>9463.75</v>
      </c>
    </row>
    <row r="11" spans="1:14">
      <c r="J11" s="7" t="s">
        <v>131</v>
      </c>
    </row>
    <row r="12" spans="1:14">
      <c r="J12" s="15" cm="1">
        <f t="array" ref="J12">MEDIAN(_xlfn._xlws.FILTER(objednavky_analyza[order_amount],objednavky_analyza[customer_type]="B2C"))</f>
        <v>1510.875</v>
      </c>
    </row>
    <row r="20" spans="1:1">
      <c r="A20" s="10" t="s">
        <v>116</v>
      </c>
    </row>
    <row r="21" spans="1:1">
      <c r="A21" s="7" t="s">
        <v>128</v>
      </c>
    </row>
    <row r="22" spans="1:1">
      <c r="A22" s="7" t="s">
        <v>129</v>
      </c>
    </row>
    <row r="23" spans="1:1">
      <c r="A23" s="7" t="s">
        <v>127</v>
      </c>
    </row>
    <row r="24" spans="1:1">
      <c r="A24" t="s">
        <v>137</v>
      </c>
    </row>
    <row r="26" spans="1:1">
      <c r="A26" t="s">
        <v>132</v>
      </c>
    </row>
    <row r="27" spans="1:1">
      <c r="A27" s="7" t="s">
        <v>133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19CE-4824-4E0E-A077-178A1DD8B5A8}">
  <sheetPr>
    <tabColor rgb="FF7030A0"/>
  </sheetPr>
  <dimension ref="A1:E23"/>
  <sheetViews>
    <sheetView showGridLines="0" zoomScaleNormal="100" workbookViewId="0">
      <pane ySplit="1" topLeftCell="A2" activePane="bottomLeft" state="frozen"/>
      <selection pane="bottomLeft" activeCell="S14" sqref="S14"/>
    </sheetView>
  </sheetViews>
  <sheetFormatPr defaultRowHeight="14.4"/>
  <cols>
    <col min="1" max="1" width="14.88671875" bestFit="1" customWidth="1"/>
    <col min="2" max="2" width="13" style="8" customWidth="1"/>
    <col min="3" max="3" width="13.88671875" customWidth="1"/>
    <col min="4" max="4" width="14.88671875" bestFit="1" customWidth="1"/>
    <col min="5" max="5" width="13" style="8" customWidth="1"/>
  </cols>
  <sheetData>
    <row r="1" spans="1:5" ht="17.399999999999999">
      <c r="A1" s="19" t="s">
        <v>144</v>
      </c>
    </row>
    <row r="3" spans="1:5">
      <c r="A3" s="2" t="s">
        <v>125</v>
      </c>
      <c r="B3" s="17" t="s">
        <v>18</v>
      </c>
      <c r="D3" s="2" t="s">
        <v>125</v>
      </c>
      <c r="E3" s="17" t="s">
        <v>9</v>
      </c>
    </row>
    <row r="5" spans="1:5">
      <c r="A5" s="2" t="s">
        <v>123</v>
      </c>
      <c r="B5" s="8" t="s">
        <v>91</v>
      </c>
      <c r="D5" s="2" t="s">
        <v>123</v>
      </c>
      <c r="E5" s="8" t="s">
        <v>91</v>
      </c>
    </row>
    <row r="6" spans="1:5">
      <c r="A6" s="3" t="s">
        <v>26</v>
      </c>
      <c r="B6" s="8">
        <v>291299.5</v>
      </c>
      <c r="D6" s="3" t="s">
        <v>32</v>
      </c>
      <c r="E6" s="8">
        <v>29857.25</v>
      </c>
    </row>
    <row r="7" spans="1:5">
      <c r="A7" s="3" t="s">
        <v>34</v>
      </c>
      <c r="B7" s="8">
        <v>199190.25</v>
      </c>
      <c r="D7" s="3" t="s">
        <v>76</v>
      </c>
      <c r="E7" s="8">
        <v>29323.5</v>
      </c>
    </row>
    <row r="8" spans="1:5">
      <c r="A8" s="3" t="s">
        <v>50</v>
      </c>
      <c r="B8" s="8">
        <v>178146.5</v>
      </c>
      <c r="D8" s="3" t="s">
        <v>62</v>
      </c>
      <c r="E8" s="8">
        <v>28502.5</v>
      </c>
    </row>
    <row r="9" spans="1:5">
      <c r="A9" s="3" t="s">
        <v>124</v>
      </c>
      <c r="B9" s="8">
        <v>668636.25</v>
      </c>
      <c r="D9" s="3" t="s">
        <v>124</v>
      </c>
      <c r="E9" s="8">
        <v>87683.25</v>
      </c>
    </row>
    <row r="11" spans="1:5">
      <c r="A11" s="3" t="s">
        <v>125</v>
      </c>
      <c r="B11" s="8" t="s">
        <v>138</v>
      </c>
      <c r="C11" t="s">
        <v>139</v>
      </c>
      <c r="D11" s="3" t="s">
        <v>140</v>
      </c>
    </row>
    <row r="12" spans="1:5">
      <c r="A12" s="3" t="s">
        <v>18</v>
      </c>
      <c r="B12" s="8">
        <f>GETPIVOTDATA("order_amount",$A$5)</f>
        <v>668636.25</v>
      </c>
      <c r="C12" s="8">
        <f>GETPIVOTDATA("Tržby",Segmenty!$J$3,"customer_type","B2B")</f>
        <v>4136475.75</v>
      </c>
      <c r="D12" s="18">
        <f>B12/C12</f>
        <v>0.16164394291444836</v>
      </c>
    </row>
    <row r="13" spans="1:5">
      <c r="A13" s="3" t="s">
        <v>141</v>
      </c>
      <c r="B13" s="8">
        <f>GETPIVOTDATA("order_amount",$D$5)</f>
        <v>87683.25</v>
      </c>
      <c r="C13" s="8">
        <f>GETPIVOTDATA("Tržby",Segmenty!$J$3,"customer_type","B2C")</f>
        <v>864266</v>
      </c>
      <c r="D13" s="18">
        <f>B13/C13</f>
        <v>0.10145400837242238</v>
      </c>
    </row>
    <row r="17" spans="1:5">
      <c r="A17" s="10" t="s">
        <v>116</v>
      </c>
    </row>
    <row r="18" spans="1:5">
      <c r="A18" s="7" t="s">
        <v>134</v>
      </c>
    </row>
    <row r="19" spans="1:5">
      <c r="A19" s="7" t="s">
        <v>135</v>
      </c>
    </row>
    <row r="20" spans="1:5">
      <c r="A20" s="6" t="s">
        <v>136</v>
      </c>
    </row>
    <row r="21" spans="1:5">
      <c r="A21" s="6"/>
    </row>
    <row r="22" spans="1:5" s="7" customFormat="1">
      <c r="A22" s="7" t="s">
        <v>142</v>
      </c>
      <c r="B22" s="16"/>
      <c r="E22" s="16"/>
    </row>
    <row r="23" spans="1:5">
      <c r="A23" t="s">
        <v>143</v>
      </c>
    </row>
  </sheetData>
  <pageMargins left="0.7" right="0.7" top="0.78740157499999996" bottom="0.78740157499999996" header="0.3" footer="0.3"/>
  <ignoredErrors>
    <ignoredError sqref="B12:D12" calculatedColumn="1"/>
  </ignoredError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067D-E4A4-490F-B12D-F9E0C525C0ED}">
  <dimension ref="A1:H99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0.109375" bestFit="1" customWidth="1"/>
    <col min="2" max="2" width="12.21875" bestFit="1" customWidth="1"/>
    <col min="3" max="3" width="14.77734375" bestFit="1" customWidth="1"/>
    <col min="4" max="4" width="13.5546875" bestFit="1" customWidth="1"/>
    <col min="5" max="5" width="16.6640625" bestFit="1" customWidth="1"/>
    <col min="6" max="6" width="15.6640625" bestFit="1" customWidth="1"/>
    <col min="7" max="7" width="10.77734375" bestFit="1" customWidth="1"/>
    <col min="8" max="8" width="8.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10001</v>
      </c>
      <c r="B2" s="1">
        <v>45677</v>
      </c>
      <c r="C2">
        <v>348.25</v>
      </c>
      <c r="D2">
        <v>42</v>
      </c>
      <c r="E2" t="s">
        <v>8</v>
      </c>
      <c r="F2" t="s">
        <v>9</v>
      </c>
      <c r="G2" t="s">
        <v>10</v>
      </c>
      <c r="H2">
        <v>1</v>
      </c>
    </row>
    <row r="3" spans="1:8">
      <c r="A3">
        <v>10002</v>
      </c>
      <c r="B3" s="1">
        <v>45687</v>
      </c>
      <c r="C3">
        <v>1376.75</v>
      </c>
      <c r="D3">
        <v>57</v>
      </c>
      <c r="E3" t="s">
        <v>11</v>
      </c>
      <c r="F3" t="s">
        <v>9</v>
      </c>
      <c r="G3" t="s">
        <v>12</v>
      </c>
      <c r="H3">
        <v>1</v>
      </c>
    </row>
    <row r="4" spans="1:8">
      <c r="A4">
        <v>10003</v>
      </c>
      <c r="B4" s="1">
        <v>45682</v>
      </c>
      <c r="C4">
        <v>823.75</v>
      </c>
      <c r="D4">
        <v>76</v>
      </c>
      <c r="E4" t="s">
        <v>13</v>
      </c>
      <c r="F4" t="s">
        <v>9</v>
      </c>
      <c r="G4" t="s">
        <v>12</v>
      </c>
      <c r="H4">
        <v>1</v>
      </c>
    </row>
    <row r="5" spans="1:8">
      <c r="A5">
        <v>10004</v>
      </c>
      <c r="B5" s="1">
        <v>45688</v>
      </c>
      <c r="C5">
        <v>1211.75</v>
      </c>
      <c r="D5">
        <v>37</v>
      </c>
      <c r="E5" t="s">
        <v>14</v>
      </c>
      <c r="F5" t="s">
        <v>9</v>
      </c>
      <c r="G5" t="s">
        <v>12</v>
      </c>
      <c r="H5">
        <v>1</v>
      </c>
    </row>
    <row r="6" spans="1:8">
      <c r="A6">
        <v>10005</v>
      </c>
      <c r="B6" s="1">
        <v>45688</v>
      </c>
      <c r="C6">
        <v>811.5</v>
      </c>
      <c r="D6">
        <v>46</v>
      </c>
      <c r="E6" t="s">
        <v>15</v>
      </c>
      <c r="F6" t="s">
        <v>9</v>
      </c>
      <c r="G6" t="s">
        <v>16</v>
      </c>
      <c r="H6">
        <v>1</v>
      </c>
    </row>
    <row r="7" spans="1:8">
      <c r="A7">
        <v>10006</v>
      </c>
      <c r="B7" s="1">
        <v>45662</v>
      </c>
      <c r="C7">
        <v>2124.75</v>
      </c>
      <c r="D7">
        <v>57</v>
      </c>
      <c r="E7" t="s">
        <v>11</v>
      </c>
      <c r="F7" t="s">
        <v>9</v>
      </c>
      <c r="G7" t="s">
        <v>12</v>
      </c>
      <c r="H7">
        <v>1</v>
      </c>
    </row>
    <row r="8" spans="1:8">
      <c r="A8">
        <v>10007</v>
      </c>
      <c r="B8" s="1">
        <v>45662</v>
      </c>
      <c r="C8">
        <v>6259.75</v>
      </c>
      <c r="D8">
        <v>5</v>
      </c>
      <c r="E8" t="s">
        <v>17</v>
      </c>
      <c r="F8" t="s">
        <v>18</v>
      </c>
      <c r="G8" t="s">
        <v>19</v>
      </c>
      <c r="H8">
        <v>1</v>
      </c>
    </row>
    <row r="9" spans="1:8">
      <c r="A9">
        <v>10008</v>
      </c>
      <c r="B9" s="1">
        <v>45661</v>
      </c>
      <c r="C9">
        <v>276.75</v>
      </c>
      <c r="D9">
        <v>33</v>
      </c>
      <c r="E9" t="s">
        <v>20</v>
      </c>
      <c r="F9" t="s">
        <v>9</v>
      </c>
      <c r="G9" t="s">
        <v>10</v>
      </c>
      <c r="H9">
        <v>1</v>
      </c>
    </row>
    <row r="10" spans="1:8">
      <c r="A10">
        <v>10009</v>
      </c>
      <c r="B10" s="1">
        <v>45665</v>
      </c>
      <c r="C10">
        <v>10056</v>
      </c>
      <c r="D10">
        <v>16</v>
      </c>
      <c r="E10" t="s">
        <v>21</v>
      </c>
      <c r="F10" t="s">
        <v>18</v>
      </c>
      <c r="G10" t="s">
        <v>10</v>
      </c>
      <c r="H10">
        <v>1</v>
      </c>
    </row>
    <row r="11" spans="1:8">
      <c r="A11">
        <v>10010</v>
      </c>
      <c r="B11" s="1">
        <v>45675</v>
      </c>
      <c r="C11">
        <v>267.75</v>
      </c>
      <c r="D11">
        <v>50</v>
      </c>
      <c r="E11" t="s">
        <v>22</v>
      </c>
      <c r="F11" t="s">
        <v>9</v>
      </c>
      <c r="G11" t="s">
        <v>16</v>
      </c>
      <c r="H11">
        <v>1</v>
      </c>
    </row>
    <row r="12" spans="1:8">
      <c r="A12">
        <v>10011</v>
      </c>
      <c r="B12" s="1">
        <v>45688</v>
      </c>
      <c r="C12">
        <v>2382.25</v>
      </c>
      <c r="D12">
        <v>29</v>
      </c>
      <c r="E12" t="s">
        <v>23</v>
      </c>
      <c r="F12" t="s">
        <v>18</v>
      </c>
      <c r="G12" t="s">
        <v>10</v>
      </c>
      <c r="H12">
        <v>1</v>
      </c>
    </row>
    <row r="13" spans="1:8">
      <c r="A13">
        <v>10012</v>
      </c>
      <c r="B13" s="1">
        <v>45671</v>
      </c>
      <c r="C13">
        <v>1870</v>
      </c>
      <c r="D13">
        <v>34</v>
      </c>
      <c r="E13" t="s">
        <v>24</v>
      </c>
      <c r="F13" t="s">
        <v>9</v>
      </c>
      <c r="G13" t="s">
        <v>10</v>
      </c>
      <c r="H13">
        <v>1</v>
      </c>
    </row>
    <row r="14" spans="1:8">
      <c r="A14">
        <v>10013</v>
      </c>
      <c r="B14" s="1">
        <v>45672</v>
      </c>
      <c r="C14">
        <v>1099</v>
      </c>
      <c r="D14">
        <v>39</v>
      </c>
      <c r="E14" t="s">
        <v>25</v>
      </c>
      <c r="F14" t="s">
        <v>9</v>
      </c>
      <c r="G14" t="s">
        <v>19</v>
      </c>
      <c r="H14">
        <v>1</v>
      </c>
    </row>
    <row r="15" spans="1:8">
      <c r="A15">
        <v>10014</v>
      </c>
      <c r="B15" s="1">
        <v>45681</v>
      </c>
      <c r="C15">
        <v>13265.25</v>
      </c>
      <c r="D15">
        <v>4</v>
      </c>
      <c r="E15" t="s">
        <v>26</v>
      </c>
      <c r="F15" t="s">
        <v>18</v>
      </c>
      <c r="G15" t="s">
        <v>16</v>
      </c>
      <c r="H15">
        <v>1</v>
      </c>
    </row>
    <row r="16" spans="1:8">
      <c r="A16">
        <v>10015</v>
      </c>
      <c r="B16" s="1">
        <v>45671</v>
      </c>
      <c r="C16">
        <v>17901.25</v>
      </c>
      <c r="D16">
        <v>3</v>
      </c>
      <c r="E16" t="s">
        <v>27</v>
      </c>
      <c r="F16" t="s">
        <v>18</v>
      </c>
      <c r="G16" t="s">
        <v>12</v>
      </c>
      <c r="H16">
        <v>1</v>
      </c>
    </row>
    <row r="17" spans="1:8">
      <c r="A17">
        <v>10016</v>
      </c>
      <c r="B17" s="1">
        <v>45664</v>
      </c>
      <c r="C17">
        <v>1501.25</v>
      </c>
      <c r="D17">
        <v>62</v>
      </c>
      <c r="E17" t="s">
        <v>28</v>
      </c>
      <c r="F17" t="s">
        <v>9</v>
      </c>
      <c r="G17" t="s">
        <v>10</v>
      </c>
      <c r="H17">
        <v>1</v>
      </c>
    </row>
    <row r="18" spans="1:8">
      <c r="A18">
        <v>10017</v>
      </c>
      <c r="B18" s="1">
        <v>45675</v>
      </c>
      <c r="C18">
        <v>2364.25</v>
      </c>
      <c r="D18">
        <v>62</v>
      </c>
      <c r="E18" t="s">
        <v>28</v>
      </c>
      <c r="F18" t="s">
        <v>9</v>
      </c>
      <c r="G18" t="s">
        <v>10</v>
      </c>
      <c r="H18">
        <v>1</v>
      </c>
    </row>
    <row r="19" spans="1:8">
      <c r="A19">
        <v>10018</v>
      </c>
      <c r="B19" s="1">
        <v>45663</v>
      </c>
      <c r="C19">
        <v>1808.75</v>
      </c>
      <c r="D19">
        <v>49</v>
      </c>
      <c r="E19" t="s">
        <v>29</v>
      </c>
      <c r="F19" t="s">
        <v>9</v>
      </c>
      <c r="G19" t="s">
        <v>19</v>
      </c>
      <c r="H19">
        <v>1</v>
      </c>
    </row>
    <row r="20" spans="1:8">
      <c r="A20">
        <v>10019</v>
      </c>
      <c r="B20" s="1">
        <v>45675</v>
      </c>
      <c r="C20">
        <v>15655.25</v>
      </c>
      <c r="D20">
        <v>20</v>
      </c>
      <c r="E20" t="s">
        <v>30</v>
      </c>
      <c r="F20" t="s">
        <v>18</v>
      </c>
      <c r="G20" t="s">
        <v>10</v>
      </c>
      <c r="H20">
        <v>1</v>
      </c>
    </row>
    <row r="21" spans="1:8">
      <c r="A21">
        <v>10020</v>
      </c>
      <c r="B21" s="1">
        <v>45667</v>
      </c>
      <c r="C21">
        <v>10183</v>
      </c>
      <c r="D21">
        <v>11</v>
      </c>
      <c r="E21" t="s">
        <v>31</v>
      </c>
      <c r="F21" t="s">
        <v>18</v>
      </c>
      <c r="G21" t="s">
        <v>19</v>
      </c>
      <c r="H21">
        <v>1</v>
      </c>
    </row>
    <row r="22" spans="1:8">
      <c r="A22">
        <v>10021</v>
      </c>
      <c r="B22" s="1">
        <v>45661</v>
      </c>
      <c r="C22">
        <v>1717.75</v>
      </c>
      <c r="D22">
        <v>74</v>
      </c>
      <c r="E22" t="s">
        <v>32</v>
      </c>
      <c r="F22" t="s">
        <v>9</v>
      </c>
      <c r="G22" t="s">
        <v>16</v>
      </c>
      <c r="H22">
        <v>1</v>
      </c>
    </row>
    <row r="23" spans="1:8">
      <c r="A23">
        <v>10022</v>
      </c>
      <c r="B23" s="1">
        <v>45661</v>
      </c>
      <c r="C23">
        <v>2626</v>
      </c>
      <c r="D23">
        <v>61</v>
      </c>
      <c r="E23" t="s">
        <v>33</v>
      </c>
      <c r="F23" t="s">
        <v>9</v>
      </c>
      <c r="G23" t="s">
        <v>16</v>
      </c>
      <c r="H23">
        <v>1</v>
      </c>
    </row>
    <row r="24" spans="1:8">
      <c r="A24">
        <v>10023</v>
      </c>
      <c r="B24" s="1">
        <v>45685</v>
      </c>
      <c r="C24">
        <v>15128.5</v>
      </c>
      <c r="D24">
        <v>27</v>
      </c>
      <c r="E24" t="s">
        <v>34</v>
      </c>
      <c r="F24" t="s">
        <v>18</v>
      </c>
      <c r="G24" t="s">
        <v>19</v>
      </c>
      <c r="H24">
        <v>1</v>
      </c>
    </row>
    <row r="25" spans="1:8">
      <c r="A25">
        <v>10024</v>
      </c>
      <c r="B25" s="1">
        <v>45662</v>
      </c>
      <c r="C25">
        <v>1595.25</v>
      </c>
      <c r="D25">
        <v>39</v>
      </c>
      <c r="E25" t="s">
        <v>25</v>
      </c>
      <c r="F25" t="s">
        <v>9</v>
      </c>
      <c r="G25" t="s">
        <v>19</v>
      </c>
      <c r="H25">
        <v>1</v>
      </c>
    </row>
    <row r="26" spans="1:8">
      <c r="A26">
        <v>10025</v>
      </c>
      <c r="B26" s="1">
        <v>45665</v>
      </c>
      <c r="C26">
        <v>680.25</v>
      </c>
      <c r="D26">
        <v>67</v>
      </c>
      <c r="E26" t="s">
        <v>35</v>
      </c>
      <c r="F26" t="s">
        <v>9</v>
      </c>
      <c r="G26" t="s">
        <v>10</v>
      </c>
      <c r="H26">
        <v>1</v>
      </c>
    </row>
    <row r="27" spans="1:8">
      <c r="A27">
        <v>10026</v>
      </c>
      <c r="B27" s="1">
        <v>45680</v>
      </c>
      <c r="C27">
        <v>1725.5</v>
      </c>
      <c r="D27">
        <v>61</v>
      </c>
      <c r="E27" t="s">
        <v>33</v>
      </c>
      <c r="F27" t="s">
        <v>9</v>
      </c>
      <c r="G27" t="s">
        <v>16</v>
      </c>
      <c r="H27">
        <v>1</v>
      </c>
    </row>
    <row r="28" spans="1:8">
      <c r="A28">
        <v>10027</v>
      </c>
      <c r="B28" s="1">
        <v>45675</v>
      </c>
      <c r="C28">
        <v>541</v>
      </c>
      <c r="D28">
        <v>51</v>
      </c>
      <c r="E28" t="s">
        <v>36</v>
      </c>
      <c r="F28" t="s">
        <v>9</v>
      </c>
      <c r="G28" t="s">
        <v>19</v>
      </c>
      <c r="H28">
        <v>1</v>
      </c>
    </row>
    <row r="29" spans="1:8">
      <c r="A29">
        <v>10028</v>
      </c>
      <c r="B29" s="1">
        <v>45671</v>
      </c>
      <c r="C29">
        <v>12446</v>
      </c>
      <c r="D29">
        <v>21</v>
      </c>
      <c r="E29" t="s">
        <v>37</v>
      </c>
      <c r="F29" t="s">
        <v>18</v>
      </c>
      <c r="G29" t="s">
        <v>16</v>
      </c>
      <c r="H29">
        <v>1</v>
      </c>
    </row>
    <row r="30" spans="1:8">
      <c r="A30">
        <v>10029</v>
      </c>
      <c r="B30" s="1">
        <v>45664</v>
      </c>
      <c r="C30">
        <v>7013.5</v>
      </c>
      <c r="D30">
        <v>19</v>
      </c>
      <c r="E30" t="s">
        <v>38</v>
      </c>
      <c r="F30" t="s">
        <v>18</v>
      </c>
      <c r="G30" t="s">
        <v>10</v>
      </c>
      <c r="H30">
        <v>1</v>
      </c>
    </row>
    <row r="31" spans="1:8">
      <c r="A31">
        <v>10030</v>
      </c>
      <c r="B31" s="1">
        <v>45662</v>
      </c>
      <c r="C31">
        <v>2165.5</v>
      </c>
      <c r="D31">
        <v>71</v>
      </c>
      <c r="E31" t="s">
        <v>39</v>
      </c>
      <c r="F31" t="s">
        <v>9</v>
      </c>
      <c r="G31" t="s">
        <v>16</v>
      </c>
      <c r="H31">
        <v>1</v>
      </c>
    </row>
    <row r="32" spans="1:8">
      <c r="A32">
        <v>10031</v>
      </c>
      <c r="B32" s="1">
        <v>45668</v>
      </c>
      <c r="C32">
        <v>2175.75</v>
      </c>
      <c r="D32">
        <v>29</v>
      </c>
      <c r="E32" t="s">
        <v>23</v>
      </c>
      <c r="F32" t="s">
        <v>18</v>
      </c>
      <c r="G32" t="s">
        <v>10</v>
      </c>
      <c r="H32">
        <v>1</v>
      </c>
    </row>
    <row r="33" spans="1:8">
      <c r="A33">
        <v>10032</v>
      </c>
      <c r="B33" s="1">
        <v>45678</v>
      </c>
      <c r="C33">
        <v>1854</v>
      </c>
      <c r="D33">
        <v>35</v>
      </c>
      <c r="E33" t="s">
        <v>40</v>
      </c>
      <c r="F33" t="s">
        <v>9</v>
      </c>
      <c r="G33" t="s">
        <v>10</v>
      </c>
      <c r="H33">
        <v>1</v>
      </c>
    </row>
    <row r="34" spans="1:8">
      <c r="A34">
        <v>10033</v>
      </c>
      <c r="B34" s="1">
        <v>45659</v>
      </c>
      <c r="C34">
        <v>4559.5</v>
      </c>
      <c r="D34">
        <v>8</v>
      </c>
      <c r="E34" t="s">
        <v>41</v>
      </c>
      <c r="F34" t="s">
        <v>18</v>
      </c>
      <c r="G34" t="s">
        <v>16</v>
      </c>
      <c r="H34">
        <v>1</v>
      </c>
    </row>
    <row r="35" spans="1:8">
      <c r="A35">
        <v>10034</v>
      </c>
      <c r="B35" s="1">
        <v>45682</v>
      </c>
      <c r="C35">
        <v>12915.25</v>
      </c>
      <c r="D35">
        <v>14</v>
      </c>
      <c r="E35" t="s">
        <v>42</v>
      </c>
      <c r="F35" t="s">
        <v>18</v>
      </c>
      <c r="G35" t="s">
        <v>10</v>
      </c>
      <c r="H35">
        <v>1</v>
      </c>
    </row>
    <row r="36" spans="1:8">
      <c r="A36">
        <v>10035</v>
      </c>
      <c r="B36" s="1">
        <v>45659</v>
      </c>
      <c r="C36">
        <v>3569.25</v>
      </c>
      <c r="D36">
        <v>29</v>
      </c>
      <c r="E36" t="s">
        <v>23</v>
      </c>
      <c r="F36" t="s">
        <v>18</v>
      </c>
      <c r="G36" t="s">
        <v>10</v>
      </c>
      <c r="H36">
        <v>1</v>
      </c>
    </row>
    <row r="37" spans="1:8">
      <c r="A37">
        <v>10036</v>
      </c>
      <c r="B37" s="1">
        <v>45658</v>
      </c>
      <c r="C37">
        <v>2443.25</v>
      </c>
      <c r="D37">
        <v>56</v>
      </c>
      <c r="E37" t="s">
        <v>43</v>
      </c>
      <c r="F37" t="s">
        <v>9</v>
      </c>
      <c r="G37" t="s">
        <v>10</v>
      </c>
      <c r="H37">
        <v>1</v>
      </c>
    </row>
    <row r="38" spans="1:8">
      <c r="A38">
        <v>10037</v>
      </c>
      <c r="B38" s="1">
        <v>45673</v>
      </c>
      <c r="C38">
        <v>1250</v>
      </c>
      <c r="D38">
        <v>69</v>
      </c>
      <c r="E38" t="s">
        <v>44</v>
      </c>
      <c r="F38" t="s">
        <v>9</v>
      </c>
      <c r="G38" t="s">
        <v>19</v>
      </c>
      <c r="H38">
        <v>1</v>
      </c>
    </row>
    <row r="39" spans="1:8">
      <c r="A39">
        <v>10038</v>
      </c>
      <c r="B39" s="1">
        <v>45660</v>
      </c>
      <c r="C39">
        <v>1614</v>
      </c>
      <c r="D39">
        <v>64</v>
      </c>
      <c r="E39" t="s">
        <v>45</v>
      </c>
      <c r="F39" t="s">
        <v>9</v>
      </c>
      <c r="G39" t="s">
        <v>12</v>
      </c>
      <c r="H39">
        <v>1</v>
      </c>
    </row>
    <row r="40" spans="1:8">
      <c r="A40">
        <v>10039</v>
      </c>
      <c r="B40" s="1">
        <v>45667</v>
      </c>
      <c r="C40">
        <v>6531.5</v>
      </c>
      <c r="D40">
        <v>2</v>
      </c>
      <c r="E40" t="s">
        <v>46</v>
      </c>
      <c r="F40" t="s">
        <v>18</v>
      </c>
      <c r="G40" t="s">
        <v>10</v>
      </c>
      <c r="H40">
        <v>1</v>
      </c>
    </row>
    <row r="41" spans="1:8">
      <c r="A41">
        <v>10040</v>
      </c>
      <c r="B41" s="1">
        <v>45664</v>
      </c>
      <c r="C41">
        <v>9113.75</v>
      </c>
      <c r="D41">
        <v>26</v>
      </c>
      <c r="E41" t="s">
        <v>47</v>
      </c>
      <c r="F41" t="s">
        <v>18</v>
      </c>
      <c r="G41" t="s">
        <v>12</v>
      </c>
      <c r="H41">
        <v>1</v>
      </c>
    </row>
    <row r="42" spans="1:8">
      <c r="A42">
        <v>10041</v>
      </c>
      <c r="B42" s="1">
        <v>45666</v>
      </c>
      <c r="C42">
        <v>17784</v>
      </c>
      <c r="D42">
        <v>6</v>
      </c>
      <c r="E42" t="s">
        <v>48</v>
      </c>
      <c r="F42" t="s">
        <v>18</v>
      </c>
      <c r="G42" t="s">
        <v>19</v>
      </c>
      <c r="H42">
        <v>1</v>
      </c>
    </row>
    <row r="43" spans="1:8">
      <c r="A43">
        <v>10042</v>
      </c>
      <c r="B43" s="1">
        <v>45678</v>
      </c>
      <c r="C43">
        <v>2304.75</v>
      </c>
      <c r="D43">
        <v>73</v>
      </c>
      <c r="E43" t="s">
        <v>49</v>
      </c>
      <c r="F43" t="s">
        <v>9</v>
      </c>
      <c r="G43" t="s">
        <v>16</v>
      </c>
      <c r="H43">
        <v>1</v>
      </c>
    </row>
    <row r="44" spans="1:8">
      <c r="A44">
        <v>10043</v>
      </c>
      <c r="B44" s="1">
        <v>45683</v>
      </c>
      <c r="C44">
        <v>13509.75</v>
      </c>
      <c r="D44">
        <v>13</v>
      </c>
      <c r="E44" t="s">
        <v>50</v>
      </c>
      <c r="F44" t="s">
        <v>18</v>
      </c>
      <c r="G44" t="s">
        <v>12</v>
      </c>
      <c r="H44">
        <v>1</v>
      </c>
    </row>
    <row r="45" spans="1:8">
      <c r="A45">
        <v>10044</v>
      </c>
      <c r="B45" s="1">
        <v>45658</v>
      </c>
      <c r="C45">
        <v>1955.5</v>
      </c>
      <c r="D45">
        <v>15</v>
      </c>
      <c r="E45" t="s">
        <v>51</v>
      </c>
      <c r="F45" t="s">
        <v>18</v>
      </c>
      <c r="G45" t="s">
        <v>10</v>
      </c>
      <c r="H45">
        <v>1</v>
      </c>
    </row>
    <row r="46" spans="1:8">
      <c r="A46">
        <v>10045</v>
      </c>
      <c r="B46" s="1">
        <v>45673</v>
      </c>
      <c r="C46">
        <v>2744.75</v>
      </c>
      <c r="D46">
        <v>20</v>
      </c>
      <c r="E46" t="s">
        <v>30</v>
      </c>
      <c r="F46" t="s">
        <v>18</v>
      </c>
      <c r="G46" t="s">
        <v>10</v>
      </c>
      <c r="H46">
        <v>1</v>
      </c>
    </row>
    <row r="47" spans="1:8">
      <c r="A47">
        <v>10046</v>
      </c>
      <c r="B47" s="1">
        <v>45685</v>
      </c>
      <c r="C47">
        <v>1583</v>
      </c>
      <c r="D47">
        <v>49</v>
      </c>
      <c r="E47" t="s">
        <v>29</v>
      </c>
      <c r="F47" t="s">
        <v>9</v>
      </c>
      <c r="G47" t="s">
        <v>19</v>
      </c>
      <c r="H47">
        <v>1</v>
      </c>
    </row>
    <row r="48" spans="1:8">
      <c r="A48">
        <v>10047</v>
      </c>
      <c r="B48" s="1">
        <v>45658</v>
      </c>
      <c r="C48">
        <v>15337.25</v>
      </c>
      <c r="D48">
        <v>19</v>
      </c>
      <c r="E48" t="s">
        <v>38</v>
      </c>
      <c r="F48" t="s">
        <v>18</v>
      </c>
      <c r="G48" t="s">
        <v>10</v>
      </c>
      <c r="H48">
        <v>1</v>
      </c>
    </row>
    <row r="49" spans="1:8">
      <c r="A49">
        <v>10048</v>
      </c>
      <c r="B49" s="1">
        <v>45674</v>
      </c>
      <c r="C49">
        <v>1488.75</v>
      </c>
      <c r="D49">
        <v>39</v>
      </c>
      <c r="E49" t="s">
        <v>25</v>
      </c>
      <c r="F49" t="s">
        <v>9</v>
      </c>
      <c r="G49" t="s">
        <v>19</v>
      </c>
      <c r="H49">
        <v>1</v>
      </c>
    </row>
    <row r="50" spans="1:8">
      <c r="A50">
        <v>10049</v>
      </c>
      <c r="B50" s="1">
        <v>45664</v>
      </c>
      <c r="C50">
        <v>944.75</v>
      </c>
      <c r="D50">
        <v>49</v>
      </c>
      <c r="E50" t="s">
        <v>29</v>
      </c>
      <c r="F50" t="s">
        <v>9</v>
      </c>
      <c r="G50" t="s">
        <v>19</v>
      </c>
      <c r="H50">
        <v>1</v>
      </c>
    </row>
    <row r="51" spans="1:8">
      <c r="A51">
        <v>10050</v>
      </c>
      <c r="B51" s="1">
        <v>45658</v>
      </c>
      <c r="C51">
        <v>1454</v>
      </c>
      <c r="D51">
        <v>38</v>
      </c>
      <c r="E51" t="s">
        <v>52</v>
      </c>
      <c r="F51" t="s">
        <v>9</v>
      </c>
      <c r="G51" t="s">
        <v>19</v>
      </c>
      <c r="H51">
        <v>1</v>
      </c>
    </row>
    <row r="52" spans="1:8">
      <c r="A52">
        <v>10051</v>
      </c>
      <c r="B52" s="1">
        <v>45685</v>
      </c>
      <c r="C52">
        <v>1162.5</v>
      </c>
      <c r="D52">
        <v>54</v>
      </c>
      <c r="E52" t="s">
        <v>53</v>
      </c>
      <c r="F52" t="s">
        <v>9</v>
      </c>
      <c r="G52" t="s">
        <v>12</v>
      </c>
      <c r="H52">
        <v>1</v>
      </c>
    </row>
    <row r="53" spans="1:8">
      <c r="A53">
        <v>10052</v>
      </c>
      <c r="B53" s="1">
        <v>45674</v>
      </c>
      <c r="C53">
        <v>5649</v>
      </c>
      <c r="D53">
        <v>29</v>
      </c>
      <c r="E53" t="s">
        <v>23</v>
      </c>
      <c r="F53" t="s">
        <v>18</v>
      </c>
      <c r="G53" t="s">
        <v>10</v>
      </c>
      <c r="H53">
        <v>1</v>
      </c>
    </row>
    <row r="54" spans="1:8">
      <c r="A54">
        <v>10053</v>
      </c>
      <c r="B54" s="1">
        <v>45682</v>
      </c>
      <c r="C54">
        <v>1009.5</v>
      </c>
      <c r="D54">
        <v>71</v>
      </c>
      <c r="E54" t="s">
        <v>39</v>
      </c>
      <c r="F54" t="s">
        <v>9</v>
      </c>
      <c r="G54" t="s">
        <v>16</v>
      </c>
      <c r="H54">
        <v>1</v>
      </c>
    </row>
    <row r="55" spans="1:8">
      <c r="A55">
        <v>10054</v>
      </c>
      <c r="B55" s="1">
        <v>45659</v>
      </c>
      <c r="C55">
        <v>994</v>
      </c>
      <c r="D55">
        <v>76</v>
      </c>
      <c r="E55" t="s">
        <v>13</v>
      </c>
      <c r="F55" t="s">
        <v>9</v>
      </c>
      <c r="G55" t="s">
        <v>12</v>
      </c>
      <c r="H55">
        <v>1</v>
      </c>
    </row>
    <row r="56" spans="1:8">
      <c r="A56">
        <v>10055</v>
      </c>
      <c r="B56" s="1">
        <v>45662</v>
      </c>
      <c r="C56">
        <v>8677</v>
      </c>
      <c r="D56">
        <v>1</v>
      </c>
      <c r="E56" t="s">
        <v>54</v>
      </c>
      <c r="F56" t="s">
        <v>18</v>
      </c>
      <c r="G56" t="s">
        <v>19</v>
      </c>
      <c r="H56">
        <v>1</v>
      </c>
    </row>
    <row r="57" spans="1:8">
      <c r="A57">
        <v>10056</v>
      </c>
      <c r="B57" s="1">
        <v>45684</v>
      </c>
      <c r="C57">
        <v>1363.25</v>
      </c>
      <c r="D57">
        <v>63</v>
      </c>
      <c r="E57" t="s">
        <v>55</v>
      </c>
      <c r="F57" t="s">
        <v>9</v>
      </c>
      <c r="G57" t="s">
        <v>10</v>
      </c>
      <c r="H57">
        <v>1</v>
      </c>
    </row>
    <row r="58" spans="1:8">
      <c r="A58">
        <v>10057</v>
      </c>
      <c r="B58" s="1">
        <v>45686</v>
      </c>
      <c r="C58">
        <v>2063.25</v>
      </c>
      <c r="D58">
        <v>61</v>
      </c>
      <c r="E58" t="s">
        <v>33</v>
      </c>
      <c r="F58" t="s">
        <v>9</v>
      </c>
      <c r="G58" t="s">
        <v>16</v>
      </c>
      <c r="H58">
        <v>1</v>
      </c>
    </row>
    <row r="59" spans="1:8">
      <c r="A59">
        <v>10058</v>
      </c>
      <c r="B59" s="1">
        <v>45682</v>
      </c>
      <c r="C59">
        <v>12508</v>
      </c>
      <c r="D59">
        <v>9</v>
      </c>
      <c r="E59" t="s">
        <v>56</v>
      </c>
      <c r="F59" t="s">
        <v>18</v>
      </c>
      <c r="G59" t="s">
        <v>57</v>
      </c>
      <c r="H59">
        <v>1</v>
      </c>
    </row>
    <row r="60" spans="1:8">
      <c r="A60">
        <v>10059</v>
      </c>
      <c r="B60" s="1">
        <v>45675</v>
      </c>
      <c r="C60">
        <v>11875</v>
      </c>
      <c r="D60">
        <v>13</v>
      </c>
      <c r="E60" t="s">
        <v>50</v>
      </c>
      <c r="F60" t="s">
        <v>18</v>
      </c>
      <c r="G60" t="s">
        <v>12</v>
      </c>
      <c r="H60">
        <v>1</v>
      </c>
    </row>
    <row r="61" spans="1:8">
      <c r="A61">
        <v>10060</v>
      </c>
      <c r="B61" s="1">
        <v>45682</v>
      </c>
      <c r="C61">
        <v>2291.25</v>
      </c>
      <c r="D61">
        <v>40</v>
      </c>
      <c r="E61" t="s">
        <v>58</v>
      </c>
      <c r="F61" t="s">
        <v>9</v>
      </c>
      <c r="G61" t="s">
        <v>19</v>
      </c>
      <c r="H61">
        <v>1</v>
      </c>
    </row>
    <row r="62" spans="1:8">
      <c r="A62">
        <v>10061</v>
      </c>
      <c r="B62" s="1">
        <v>45673</v>
      </c>
      <c r="C62">
        <v>2452.75</v>
      </c>
      <c r="D62">
        <v>66</v>
      </c>
      <c r="E62" t="s">
        <v>59</v>
      </c>
      <c r="F62" t="s">
        <v>9</v>
      </c>
      <c r="G62" t="s">
        <v>19</v>
      </c>
      <c r="H62">
        <v>1</v>
      </c>
    </row>
    <row r="63" spans="1:8">
      <c r="A63">
        <v>10062</v>
      </c>
      <c r="B63" s="1">
        <v>45676</v>
      </c>
      <c r="C63">
        <v>8310.25</v>
      </c>
      <c r="D63">
        <v>22</v>
      </c>
      <c r="E63" t="s">
        <v>60</v>
      </c>
      <c r="F63" t="s">
        <v>18</v>
      </c>
      <c r="G63" t="s">
        <v>10</v>
      </c>
      <c r="H63">
        <v>1</v>
      </c>
    </row>
    <row r="64" spans="1:8">
      <c r="A64">
        <v>10063</v>
      </c>
      <c r="B64" s="1">
        <v>45679</v>
      </c>
      <c r="C64">
        <v>1281.5</v>
      </c>
      <c r="D64">
        <v>52</v>
      </c>
      <c r="E64" t="s">
        <v>61</v>
      </c>
      <c r="F64" t="s">
        <v>9</v>
      </c>
      <c r="G64" t="s">
        <v>12</v>
      </c>
      <c r="H64">
        <v>1</v>
      </c>
    </row>
    <row r="65" spans="1:8">
      <c r="A65">
        <v>10064</v>
      </c>
      <c r="B65" s="1">
        <v>45686</v>
      </c>
      <c r="C65">
        <v>1617.75</v>
      </c>
      <c r="D65">
        <v>52</v>
      </c>
      <c r="E65" t="s">
        <v>61</v>
      </c>
      <c r="F65" t="s">
        <v>9</v>
      </c>
      <c r="G65" t="s">
        <v>12</v>
      </c>
      <c r="H65">
        <v>1</v>
      </c>
    </row>
    <row r="66" spans="1:8">
      <c r="A66">
        <v>10065</v>
      </c>
      <c r="B66" s="1">
        <v>45678</v>
      </c>
      <c r="C66">
        <v>293</v>
      </c>
      <c r="D66">
        <v>62</v>
      </c>
      <c r="E66" t="s">
        <v>28</v>
      </c>
      <c r="F66" t="s">
        <v>9</v>
      </c>
      <c r="G66" t="s">
        <v>10</v>
      </c>
      <c r="H66">
        <v>1</v>
      </c>
    </row>
    <row r="67" spans="1:8">
      <c r="A67">
        <v>10066</v>
      </c>
      <c r="B67" s="1">
        <v>45715</v>
      </c>
      <c r="C67">
        <v>17184.25</v>
      </c>
      <c r="D67">
        <v>9</v>
      </c>
      <c r="E67" t="s">
        <v>56</v>
      </c>
      <c r="F67" t="s">
        <v>18</v>
      </c>
      <c r="G67" t="s">
        <v>57</v>
      </c>
      <c r="H67">
        <v>2</v>
      </c>
    </row>
    <row r="68" spans="1:8">
      <c r="A68">
        <v>10067</v>
      </c>
      <c r="B68" s="1">
        <v>45708</v>
      </c>
      <c r="C68">
        <v>15255.5</v>
      </c>
      <c r="D68">
        <v>19</v>
      </c>
      <c r="E68" t="s">
        <v>38</v>
      </c>
      <c r="F68" t="s">
        <v>18</v>
      </c>
      <c r="G68" t="s">
        <v>10</v>
      </c>
      <c r="H68">
        <v>2</v>
      </c>
    </row>
    <row r="69" spans="1:8">
      <c r="A69">
        <v>10068</v>
      </c>
      <c r="B69" s="1">
        <v>45696</v>
      </c>
      <c r="C69">
        <v>14260</v>
      </c>
      <c r="D69">
        <v>8</v>
      </c>
      <c r="E69" t="s">
        <v>41</v>
      </c>
      <c r="F69" t="s">
        <v>18</v>
      </c>
      <c r="G69" t="s">
        <v>16</v>
      </c>
      <c r="H69">
        <v>2</v>
      </c>
    </row>
    <row r="70" spans="1:8">
      <c r="A70">
        <v>10069</v>
      </c>
      <c r="B70" s="1">
        <v>45698</v>
      </c>
      <c r="C70">
        <v>10506</v>
      </c>
      <c r="D70">
        <v>13</v>
      </c>
      <c r="E70" t="s">
        <v>50</v>
      </c>
      <c r="F70" t="s">
        <v>18</v>
      </c>
      <c r="G70" t="s">
        <v>12</v>
      </c>
      <c r="H70">
        <v>2</v>
      </c>
    </row>
    <row r="71" spans="1:8">
      <c r="A71">
        <v>10070</v>
      </c>
      <c r="B71" s="1">
        <v>45716</v>
      </c>
      <c r="C71">
        <v>2679</v>
      </c>
      <c r="D71">
        <v>45</v>
      </c>
      <c r="E71" t="s">
        <v>62</v>
      </c>
      <c r="F71" t="s">
        <v>9</v>
      </c>
      <c r="G71" t="s">
        <v>10</v>
      </c>
      <c r="H71">
        <v>2</v>
      </c>
    </row>
    <row r="72" spans="1:8">
      <c r="A72">
        <v>10071</v>
      </c>
      <c r="B72" s="1">
        <v>45709</v>
      </c>
      <c r="C72">
        <v>286.75</v>
      </c>
      <c r="D72">
        <v>62</v>
      </c>
      <c r="E72" t="s">
        <v>28</v>
      </c>
      <c r="F72" t="s">
        <v>9</v>
      </c>
      <c r="G72" t="s">
        <v>10</v>
      </c>
      <c r="H72">
        <v>2</v>
      </c>
    </row>
    <row r="73" spans="1:8">
      <c r="A73">
        <v>10072</v>
      </c>
      <c r="B73" s="1">
        <v>45694</v>
      </c>
      <c r="C73">
        <v>2588</v>
      </c>
      <c r="D73">
        <v>55</v>
      </c>
      <c r="E73" t="s">
        <v>63</v>
      </c>
      <c r="F73" t="s">
        <v>9</v>
      </c>
      <c r="G73" t="s">
        <v>19</v>
      </c>
      <c r="H73">
        <v>2</v>
      </c>
    </row>
    <row r="74" spans="1:8">
      <c r="A74">
        <v>10073</v>
      </c>
      <c r="B74" s="1">
        <v>45698</v>
      </c>
      <c r="C74">
        <v>13928.75</v>
      </c>
      <c r="D74">
        <v>9</v>
      </c>
      <c r="E74" t="s">
        <v>56</v>
      </c>
      <c r="F74" t="s">
        <v>18</v>
      </c>
      <c r="G74" t="s">
        <v>57</v>
      </c>
      <c r="H74">
        <v>2</v>
      </c>
    </row>
    <row r="75" spans="1:8">
      <c r="A75">
        <v>10074</v>
      </c>
      <c r="B75" s="1">
        <v>45698</v>
      </c>
      <c r="C75">
        <v>13719.25</v>
      </c>
      <c r="D75">
        <v>10</v>
      </c>
      <c r="E75" t="s">
        <v>64</v>
      </c>
      <c r="F75" t="s">
        <v>18</v>
      </c>
      <c r="G75" t="s">
        <v>19</v>
      </c>
      <c r="H75">
        <v>2</v>
      </c>
    </row>
    <row r="76" spans="1:8">
      <c r="A76">
        <v>10075</v>
      </c>
      <c r="B76" s="1">
        <v>45692</v>
      </c>
      <c r="C76">
        <v>442.5</v>
      </c>
      <c r="D76">
        <v>55</v>
      </c>
      <c r="E76" t="s">
        <v>63</v>
      </c>
      <c r="F76" t="s">
        <v>9</v>
      </c>
      <c r="G76" t="s">
        <v>19</v>
      </c>
      <c r="H76">
        <v>2</v>
      </c>
    </row>
    <row r="77" spans="1:8">
      <c r="A77">
        <v>10076</v>
      </c>
      <c r="B77" s="1">
        <v>45699</v>
      </c>
      <c r="C77">
        <v>1675.5</v>
      </c>
      <c r="D77">
        <v>40</v>
      </c>
      <c r="E77" t="s">
        <v>58</v>
      </c>
      <c r="F77" t="s">
        <v>9</v>
      </c>
      <c r="G77" t="s">
        <v>19</v>
      </c>
      <c r="H77">
        <v>2</v>
      </c>
    </row>
    <row r="78" spans="1:8">
      <c r="A78">
        <v>10077</v>
      </c>
      <c r="B78" s="1">
        <v>45715</v>
      </c>
      <c r="C78">
        <v>1557.5</v>
      </c>
      <c r="D78">
        <v>32</v>
      </c>
      <c r="E78" t="s">
        <v>65</v>
      </c>
      <c r="F78" t="s">
        <v>9</v>
      </c>
      <c r="G78" t="s">
        <v>12</v>
      </c>
      <c r="H78">
        <v>2</v>
      </c>
    </row>
    <row r="79" spans="1:8">
      <c r="A79">
        <v>10078</v>
      </c>
      <c r="B79" s="1">
        <v>45714</v>
      </c>
      <c r="C79">
        <v>13784.75</v>
      </c>
      <c r="D79">
        <v>6</v>
      </c>
      <c r="E79" t="s">
        <v>48</v>
      </c>
      <c r="F79" t="s">
        <v>18</v>
      </c>
      <c r="G79" t="s">
        <v>19</v>
      </c>
      <c r="H79">
        <v>2</v>
      </c>
    </row>
    <row r="80" spans="1:8">
      <c r="A80">
        <v>10079</v>
      </c>
      <c r="B80" s="1">
        <v>45708</v>
      </c>
      <c r="C80">
        <v>3175</v>
      </c>
      <c r="D80">
        <v>7</v>
      </c>
      <c r="E80" t="s">
        <v>66</v>
      </c>
      <c r="F80" t="s">
        <v>18</v>
      </c>
      <c r="G80" t="s">
        <v>10</v>
      </c>
      <c r="H80">
        <v>2</v>
      </c>
    </row>
    <row r="81" spans="1:8">
      <c r="A81">
        <v>10080</v>
      </c>
      <c r="B81" s="1">
        <v>45703</v>
      </c>
      <c r="C81">
        <v>2704.75</v>
      </c>
      <c r="D81">
        <v>63</v>
      </c>
      <c r="E81" t="s">
        <v>55</v>
      </c>
      <c r="F81" t="s">
        <v>9</v>
      </c>
      <c r="G81" t="s">
        <v>10</v>
      </c>
      <c r="H81">
        <v>2</v>
      </c>
    </row>
    <row r="82" spans="1:8">
      <c r="A82">
        <v>10081</v>
      </c>
      <c r="B82" s="1">
        <v>45693</v>
      </c>
      <c r="C82">
        <v>8217.5</v>
      </c>
      <c r="D82">
        <v>25</v>
      </c>
      <c r="E82" t="s">
        <v>67</v>
      </c>
      <c r="F82" t="s">
        <v>18</v>
      </c>
      <c r="G82" t="s">
        <v>10</v>
      </c>
      <c r="H82">
        <v>2</v>
      </c>
    </row>
    <row r="83" spans="1:8">
      <c r="A83">
        <v>10082</v>
      </c>
      <c r="B83" s="1">
        <v>45697</v>
      </c>
      <c r="C83">
        <v>1728.25</v>
      </c>
      <c r="D83">
        <v>47</v>
      </c>
      <c r="E83" t="s">
        <v>68</v>
      </c>
      <c r="F83" t="s">
        <v>9</v>
      </c>
      <c r="G83" t="s">
        <v>19</v>
      </c>
      <c r="H83">
        <v>2</v>
      </c>
    </row>
    <row r="84" spans="1:8">
      <c r="A84">
        <v>10083</v>
      </c>
      <c r="B84" s="1">
        <v>45698</v>
      </c>
      <c r="C84">
        <v>982.75</v>
      </c>
      <c r="D84">
        <v>45</v>
      </c>
      <c r="E84" t="s">
        <v>62</v>
      </c>
      <c r="F84" t="s">
        <v>9</v>
      </c>
      <c r="G84" t="s">
        <v>10</v>
      </c>
      <c r="H84">
        <v>2</v>
      </c>
    </row>
    <row r="85" spans="1:8">
      <c r="A85">
        <v>10084</v>
      </c>
      <c r="B85" s="1">
        <v>45689</v>
      </c>
      <c r="C85">
        <v>965.75</v>
      </c>
      <c r="D85">
        <v>47</v>
      </c>
      <c r="E85" t="s">
        <v>68</v>
      </c>
      <c r="F85" t="s">
        <v>9</v>
      </c>
      <c r="G85" t="s">
        <v>19</v>
      </c>
      <c r="H85">
        <v>2</v>
      </c>
    </row>
    <row r="86" spans="1:8">
      <c r="A86">
        <v>10085</v>
      </c>
      <c r="B86" s="1">
        <v>45693</v>
      </c>
      <c r="C86">
        <v>2389.5</v>
      </c>
      <c r="D86">
        <v>69</v>
      </c>
      <c r="E86" t="s">
        <v>44</v>
      </c>
      <c r="F86" t="s">
        <v>9</v>
      </c>
      <c r="G86" t="s">
        <v>19</v>
      </c>
      <c r="H86">
        <v>2</v>
      </c>
    </row>
    <row r="87" spans="1:8">
      <c r="A87">
        <v>10086</v>
      </c>
      <c r="B87" s="1">
        <v>45712</v>
      </c>
      <c r="C87">
        <v>1560</v>
      </c>
      <c r="D87">
        <v>65</v>
      </c>
      <c r="E87" t="s">
        <v>69</v>
      </c>
      <c r="F87" t="s">
        <v>9</v>
      </c>
      <c r="G87" t="s">
        <v>19</v>
      </c>
      <c r="H87">
        <v>2</v>
      </c>
    </row>
    <row r="88" spans="1:8">
      <c r="A88">
        <v>10087</v>
      </c>
      <c r="B88" s="1">
        <v>45698</v>
      </c>
      <c r="C88">
        <v>2715.25</v>
      </c>
      <c r="D88">
        <v>45</v>
      </c>
      <c r="E88" t="s">
        <v>62</v>
      </c>
      <c r="F88" t="s">
        <v>9</v>
      </c>
      <c r="G88" t="s">
        <v>10</v>
      </c>
      <c r="H88">
        <v>2</v>
      </c>
    </row>
    <row r="89" spans="1:8">
      <c r="A89">
        <v>10088</v>
      </c>
      <c r="B89" s="1">
        <v>45700</v>
      </c>
      <c r="C89">
        <v>6920.75</v>
      </c>
      <c r="D89">
        <v>21</v>
      </c>
      <c r="E89" t="s">
        <v>37</v>
      </c>
      <c r="F89" t="s">
        <v>18</v>
      </c>
      <c r="G89" t="s">
        <v>16</v>
      </c>
      <c r="H89">
        <v>2</v>
      </c>
    </row>
    <row r="90" spans="1:8">
      <c r="A90">
        <v>10089</v>
      </c>
      <c r="B90" s="1">
        <v>45694</v>
      </c>
      <c r="C90">
        <v>15547.25</v>
      </c>
      <c r="D90">
        <v>30</v>
      </c>
      <c r="E90" t="s">
        <v>70</v>
      </c>
      <c r="F90" t="s">
        <v>18</v>
      </c>
      <c r="G90" t="s">
        <v>10</v>
      </c>
      <c r="H90">
        <v>2</v>
      </c>
    </row>
    <row r="91" spans="1:8">
      <c r="A91">
        <v>10090</v>
      </c>
      <c r="B91" s="1">
        <v>45693</v>
      </c>
      <c r="C91">
        <v>7728.25</v>
      </c>
      <c r="D91">
        <v>18</v>
      </c>
      <c r="E91" t="s">
        <v>71</v>
      </c>
      <c r="F91" t="s">
        <v>18</v>
      </c>
      <c r="G91" t="s">
        <v>10</v>
      </c>
      <c r="H91">
        <v>2</v>
      </c>
    </row>
    <row r="92" spans="1:8">
      <c r="A92">
        <v>10091</v>
      </c>
      <c r="B92" s="1">
        <v>45707</v>
      </c>
      <c r="C92">
        <v>379.25</v>
      </c>
      <c r="D92">
        <v>71</v>
      </c>
      <c r="E92" t="s">
        <v>39</v>
      </c>
      <c r="F92" t="s">
        <v>9</v>
      </c>
      <c r="G92" t="s">
        <v>16</v>
      </c>
      <c r="H92">
        <v>2</v>
      </c>
    </row>
    <row r="93" spans="1:8">
      <c r="A93">
        <v>10092</v>
      </c>
      <c r="B93" s="1">
        <v>45711</v>
      </c>
      <c r="C93">
        <v>2139</v>
      </c>
      <c r="D93">
        <v>38</v>
      </c>
      <c r="E93" t="s">
        <v>52</v>
      </c>
      <c r="F93" t="s">
        <v>9</v>
      </c>
      <c r="G93" t="s">
        <v>19</v>
      </c>
      <c r="H93">
        <v>2</v>
      </c>
    </row>
    <row r="94" spans="1:8">
      <c r="A94">
        <v>10093</v>
      </c>
      <c r="B94" s="1">
        <v>45715</v>
      </c>
      <c r="C94">
        <v>1525.25</v>
      </c>
      <c r="D94">
        <v>42</v>
      </c>
      <c r="E94" t="s">
        <v>8</v>
      </c>
      <c r="F94" t="s">
        <v>9</v>
      </c>
      <c r="G94" t="s">
        <v>10</v>
      </c>
      <c r="H94">
        <v>2</v>
      </c>
    </row>
    <row r="95" spans="1:8">
      <c r="A95">
        <v>10094</v>
      </c>
      <c r="B95" s="1">
        <v>45693</v>
      </c>
      <c r="C95">
        <v>12138.5</v>
      </c>
      <c r="D95">
        <v>4</v>
      </c>
      <c r="E95" t="s">
        <v>26</v>
      </c>
      <c r="F95" t="s">
        <v>18</v>
      </c>
      <c r="G95" t="s">
        <v>16</v>
      </c>
      <c r="H95">
        <v>2</v>
      </c>
    </row>
    <row r="96" spans="1:8">
      <c r="A96">
        <v>10095</v>
      </c>
      <c r="B96" s="1">
        <v>45714</v>
      </c>
      <c r="C96">
        <v>880.75</v>
      </c>
      <c r="D96">
        <v>46</v>
      </c>
      <c r="E96" t="s">
        <v>15</v>
      </c>
      <c r="F96" t="s">
        <v>9</v>
      </c>
      <c r="G96" t="s">
        <v>16</v>
      </c>
      <c r="H96">
        <v>2</v>
      </c>
    </row>
    <row r="97" spans="1:8">
      <c r="A97">
        <v>10096</v>
      </c>
      <c r="B97" s="1">
        <v>45692</v>
      </c>
      <c r="C97">
        <v>12288</v>
      </c>
      <c r="D97">
        <v>24</v>
      </c>
      <c r="E97" t="s">
        <v>72</v>
      </c>
      <c r="F97" t="s">
        <v>18</v>
      </c>
      <c r="G97" t="s">
        <v>12</v>
      </c>
      <c r="H97">
        <v>2</v>
      </c>
    </row>
    <row r="98" spans="1:8">
      <c r="A98">
        <v>10097</v>
      </c>
      <c r="B98" s="1">
        <v>45690</v>
      </c>
      <c r="C98">
        <v>1165.5</v>
      </c>
      <c r="D98">
        <v>40</v>
      </c>
      <c r="E98" t="s">
        <v>58</v>
      </c>
      <c r="F98" t="s">
        <v>9</v>
      </c>
      <c r="G98" t="s">
        <v>19</v>
      </c>
      <c r="H98">
        <v>2</v>
      </c>
    </row>
    <row r="99" spans="1:8">
      <c r="A99">
        <v>10098</v>
      </c>
      <c r="B99" s="1">
        <v>45693</v>
      </c>
      <c r="C99">
        <v>14423.25</v>
      </c>
      <c r="D99">
        <v>19</v>
      </c>
      <c r="E99" t="s">
        <v>38</v>
      </c>
      <c r="F99" t="s">
        <v>18</v>
      </c>
      <c r="G99" t="s">
        <v>10</v>
      </c>
      <c r="H99">
        <v>2</v>
      </c>
    </row>
    <row r="100" spans="1:8">
      <c r="A100">
        <v>10099</v>
      </c>
      <c r="B100" s="1">
        <v>45713</v>
      </c>
      <c r="C100">
        <v>10609.25</v>
      </c>
      <c r="D100">
        <v>17</v>
      </c>
      <c r="E100" t="s">
        <v>73</v>
      </c>
      <c r="F100" t="s">
        <v>18</v>
      </c>
      <c r="G100" t="s">
        <v>16</v>
      </c>
      <c r="H100">
        <v>2</v>
      </c>
    </row>
    <row r="101" spans="1:8">
      <c r="A101">
        <v>10100</v>
      </c>
      <c r="B101" s="1">
        <v>45694</v>
      </c>
      <c r="C101">
        <v>1366.5</v>
      </c>
      <c r="D101">
        <v>48</v>
      </c>
      <c r="E101" t="s">
        <v>74</v>
      </c>
      <c r="F101" t="s">
        <v>9</v>
      </c>
      <c r="G101" t="s">
        <v>16</v>
      </c>
      <c r="H101">
        <v>2</v>
      </c>
    </row>
    <row r="102" spans="1:8">
      <c r="A102">
        <v>10101</v>
      </c>
      <c r="B102" s="1">
        <v>45693</v>
      </c>
      <c r="C102">
        <v>17481.75</v>
      </c>
      <c r="D102">
        <v>21</v>
      </c>
      <c r="E102" t="s">
        <v>37</v>
      </c>
      <c r="F102" t="s">
        <v>18</v>
      </c>
      <c r="G102" t="s">
        <v>16</v>
      </c>
      <c r="H102">
        <v>2</v>
      </c>
    </row>
    <row r="103" spans="1:8">
      <c r="A103">
        <v>10102</v>
      </c>
      <c r="B103" s="1">
        <v>45702</v>
      </c>
      <c r="C103">
        <v>8720.5</v>
      </c>
      <c r="D103">
        <v>8</v>
      </c>
      <c r="E103" t="s">
        <v>41</v>
      </c>
      <c r="F103" t="s">
        <v>18</v>
      </c>
      <c r="G103" t="s">
        <v>16</v>
      </c>
      <c r="H103">
        <v>2</v>
      </c>
    </row>
    <row r="104" spans="1:8">
      <c r="A104">
        <v>10103</v>
      </c>
      <c r="B104" s="1">
        <v>45716</v>
      </c>
      <c r="C104">
        <v>2657.75</v>
      </c>
      <c r="D104">
        <v>63</v>
      </c>
      <c r="E104" t="s">
        <v>55</v>
      </c>
      <c r="F104" t="s">
        <v>9</v>
      </c>
      <c r="G104" t="s">
        <v>10</v>
      </c>
      <c r="H104">
        <v>2</v>
      </c>
    </row>
    <row r="105" spans="1:8">
      <c r="A105">
        <v>10104</v>
      </c>
      <c r="B105" s="1">
        <v>45694</v>
      </c>
      <c r="C105">
        <v>11474.25</v>
      </c>
      <c r="D105">
        <v>20</v>
      </c>
      <c r="E105" t="s">
        <v>30</v>
      </c>
      <c r="F105" t="s">
        <v>18</v>
      </c>
      <c r="G105" t="s">
        <v>10</v>
      </c>
      <c r="H105">
        <v>2</v>
      </c>
    </row>
    <row r="106" spans="1:8">
      <c r="A106">
        <v>10105</v>
      </c>
      <c r="B106" s="1">
        <v>45692</v>
      </c>
      <c r="C106">
        <v>2596.5</v>
      </c>
      <c r="D106">
        <v>62</v>
      </c>
      <c r="E106" t="s">
        <v>28</v>
      </c>
      <c r="F106" t="s">
        <v>9</v>
      </c>
      <c r="G106" t="s">
        <v>10</v>
      </c>
      <c r="H106">
        <v>2</v>
      </c>
    </row>
    <row r="107" spans="1:8">
      <c r="A107">
        <v>10106</v>
      </c>
      <c r="B107" s="1">
        <v>45704</v>
      </c>
      <c r="C107">
        <v>5070.25</v>
      </c>
      <c r="D107">
        <v>18</v>
      </c>
      <c r="E107" t="s">
        <v>71</v>
      </c>
      <c r="F107" t="s">
        <v>18</v>
      </c>
      <c r="G107" t="s">
        <v>10</v>
      </c>
      <c r="H107">
        <v>2</v>
      </c>
    </row>
    <row r="108" spans="1:8">
      <c r="A108">
        <v>10107</v>
      </c>
      <c r="B108" s="1">
        <v>45692</v>
      </c>
      <c r="C108">
        <v>1588.75</v>
      </c>
      <c r="D108">
        <v>42</v>
      </c>
      <c r="E108" t="s">
        <v>8</v>
      </c>
      <c r="F108" t="s">
        <v>9</v>
      </c>
      <c r="G108" t="s">
        <v>10</v>
      </c>
      <c r="H108">
        <v>2</v>
      </c>
    </row>
    <row r="109" spans="1:8">
      <c r="A109">
        <v>10108</v>
      </c>
      <c r="B109" s="1">
        <v>45698</v>
      </c>
      <c r="C109">
        <v>2650.75</v>
      </c>
      <c r="D109">
        <v>66</v>
      </c>
      <c r="E109" t="s">
        <v>59</v>
      </c>
      <c r="F109" t="s">
        <v>9</v>
      </c>
      <c r="G109" t="s">
        <v>19</v>
      </c>
      <c r="H109">
        <v>2</v>
      </c>
    </row>
    <row r="110" spans="1:8">
      <c r="A110">
        <v>10109</v>
      </c>
      <c r="B110" s="1">
        <v>45707</v>
      </c>
      <c r="C110">
        <v>4073.75</v>
      </c>
      <c r="D110">
        <v>12</v>
      </c>
      <c r="E110" t="s">
        <v>75</v>
      </c>
      <c r="F110" t="s">
        <v>18</v>
      </c>
      <c r="G110" t="s">
        <v>16</v>
      </c>
      <c r="H110">
        <v>2</v>
      </c>
    </row>
    <row r="111" spans="1:8">
      <c r="A111">
        <v>10110</v>
      </c>
      <c r="B111" s="1">
        <v>45699</v>
      </c>
      <c r="C111">
        <v>17824.25</v>
      </c>
      <c r="D111">
        <v>29</v>
      </c>
      <c r="E111" t="s">
        <v>23</v>
      </c>
      <c r="F111" t="s">
        <v>18</v>
      </c>
      <c r="G111" t="s">
        <v>10</v>
      </c>
      <c r="H111">
        <v>2</v>
      </c>
    </row>
    <row r="112" spans="1:8">
      <c r="A112">
        <v>10111</v>
      </c>
      <c r="B112" s="1">
        <v>45716</v>
      </c>
      <c r="C112">
        <v>2132.75</v>
      </c>
      <c r="D112">
        <v>45</v>
      </c>
      <c r="E112" t="s">
        <v>62</v>
      </c>
      <c r="F112" t="s">
        <v>9</v>
      </c>
      <c r="G112" t="s">
        <v>10</v>
      </c>
      <c r="H112">
        <v>2</v>
      </c>
    </row>
    <row r="113" spans="1:8">
      <c r="A113">
        <v>10112</v>
      </c>
      <c r="B113" s="1">
        <v>45701</v>
      </c>
      <c r="C113">
        <v>653</v>
      </c>
      <c r="D113">
        <v>69</v>
      </c>
      <c r="E113" t="s">
        <v>44</v>
      </c>
      <c r="F113" t="s">
        <v>9</v>
      </c>
      <c r="G113" t="s">
        <v>19</v>
      </c>
      <c r="H113">
        <v>2</v>
      </c>
    </row>
    <row r="114" spans="1:8">
      <c r="A114">
        <v>10113</v>
      </c>
      <c r="B114" s="1">
        <v>45715</v>
      </c>
      <c r="C114">
        <v>2880.5</v>
      </c>
      <c r="D114">
        <v>10</v>
      </c>
      <c r="E114" t="s">
        <v>64</v>
      </c>
      <c r="F114" t="s">
        <v>18</v>
      </c>
      <c r="G114" t="s">
        <v>19</v>
      </c>
      <c r="H114">
        <v>2</v>
      </c>
    </row>
    <row r="115" spans="1:8">
      <c r="A115">
        <v>10114</v>
      </c>
      <c r="B115" s="1">
        <v>45702</v>
      </c>
      <c r="C115">
        <v>10592.5</v>
      </c>
      <c r="D115">
        <v>20</v>
      </c>
      <c r="E115" t="s">
        <v>30</v>
      </c>
      <c r="F115" t="s">
        <v>18</v>
      </c>
      <c r="G115" t="s">
        <v>10</v>
      </c>
      <c r="H115">
        <v>2</v>
      </c>
    </row>
    <row r="116" spans="1:8">
      <c r="A116">
        <v>10115</v>
      </c>
      <c r="B116" s="1">
        <v>45695</v>
      </c>
      <c r="C116">
        <v>2251.25</v>
      </c>
      <c r="D116">
        <v>72</v>
      </c>
      <c r="E116" t="s">
        <v>76</v>
      </c>
      <c r="F116" t="s">
        <v>9</v>
      </c>
      <c r="G116" t="s">
        <v>12</v>
      </c>
      <c r="H116">
        <v>2</v>
      </c>
    </row>
    <row r="117" spans="1:8">
      <c r="A117">
        <v>10116</v>
      </c>
      <c r="B117" s="1">
        <v>45716</v>
      </c>
      <c r="C117">
        <v>1252.25</v>
      </c>
      <c r="D117">
        <v>69</v>
      </c>
      <c r="E117" t="s">
        <v>44</v>
      </c>
      <c r="F117" t="s">
        <v>9</v>
      </c>
      <c r="G117" t="s">
        <v>19</v>
      </c>
      <c r="H117">
        <v>2</v>
      </c>
    </row>
    <row r="118" spans="1:8">
      <c r="A118">
        <v>10117</v>
      </c>
      <c r="B118" s="1">
        <v>45701</v>
      </c>
      <c r="C118">
        <v>1954.25</v>
      </c>
      <c r="D118">
        <v>7</v>
      </c>
      <c r="E118" t="s">
        <v>66</v>
      </c>
      <c r="F118" t="s">
        <v>18</v>
      </c>
      <c r="G118" t="s">
        <v>10</v>
      </c>
      <c r="H118">
        <v>2</v>
      </c>
    </row>
    <row r="119" spans="1:8">
      <c r="A119">
        <v>10118</v>
      </c>
      <c r="B119" s="1">
        <v>45703</v>
      </c>
      <c r="C119">
        <v>5848.25</v>
      </c>
      <c r="D119">
        <v>2</v>
      </c>
      <c r="E119" t="s">
        <v>46</v>
      </c>
      <c r="F119" t="s">
        <v>18</v>
      </c>
      <c r="G119" t="s">
        <v>10</v>
      </c>
      <c r="H119">
        <v>2</v>
      </c>
    </row>
    <row r="120" spans="1:8">
      <c r="A120">
        <v>10119</v>
      </c>
      <c r="B120" s="1">
        <v>45700</v>
      </c>
      <c r="C120">
        <v>1491.5</v>
      </c>
      <c r="D120">
        <v>32</v>
      </c>
      <c r="E120" t="s">
        <v>65</v>
      </c>
      <c r="F120" t="s">
        <v>9</v>
      </c>
      <c r="G120" t="s">
        <v>12</v>
      </c>
      <c r="H120">
        <v>2</v>
      </c>
    </row>
    <row r="121" spans="1:8">
      <c r="A121">
        <v>10120</v>
      </c>
      <c r="B121" s="1">
        <v>45714</v>
      </c>
      <c r="C121">
        <v>1953.75</v>
      </c>
      <c r="D121">
        <v>31</v>
      </c>
      <c r="E121" t="s">
        <v>77</v>
      </c>
      <c r="F121" t="s">
        <v>9</v>
      </c>
      <c r="G121" t="s">
        <v>16</v>
      </c>
      <c r="H121">
        <v>2</v>
      </c>
    </row>
    <row r="122" spans="1:8">
      <c r="A122">
        <v>10121</v>
      </c>
      <c r="B122" s="1">
        <v>45694</v>
      </c>
      <c r="C122">
        <v>1485</v>
      </c>
      <c r="D122">
        <v>40</v>
      </c>
      <c r="E122" t="s">
        <v>58</v>
      </c>
      <c r="F122" t="s">
        <v>9</v>
      </c>
      <c r="G122" t="s">
        <v>19</v>
      </c>
      <c r="H122">
        <v>2</v>
      </c>
    </row>
    <row r="123" spans="1:8">
      <c r="A123">
        <v>10122</v>
      </c>
      <c r="B123" s="1">
        <v>45701</v>
      </c>
      <c r="C123">
        <v>6021.5</v>
      </c>
      <c r="D123">
        <v>11</v>
      </c>
      <c r="E123" t="s">
        <v>31</v>
      </c>
      <c r="F123" t="s">
        <v>18</v>
      </c>
      <c r="G123" t="s">
        <v>19</v>
      </c>
      <c r="H123">
        <v>2</v>
      </c>
    </row>
    <row r="124" spans="1:8">
      <c r="A124">
        <v>10123</v>
      </c>
      <c r="B124" s="1">
        <v>45708</v>
      </c>
      <c r="C124">
        <v>2337.5</v>
      </c>
      <c r="D124">
        <v>35</v>
      </c>
      <c r="E124" t="s">
        <v>40</v>
      </c>
      <c r="F124" t="s">
        <v>9</v>
      </c>
      <c r="G124" t="s">
        <v>10</v>
      </c>
      <c r="H124">
        <v>2</v>
      </c>
    </row>
    <row r="125" spans="1:8">
      <c r="A125">
        <v>10124</v>
      </c>
      <c r="B125" s="1">
        <v>45699</v>
      </c>
      <c r="C125">
        <v>722.5</v>
      </c>
      <c r="D125">
        <v>67</v>
      </c>
      <c r="E125" t="s">
        <v>35</v>
      </c>
      <c r="F125" t="s">
        <v>9</v>
      </c>
      <c r="G125" t="s">
        <v>10</v>
      </c>
      <c r="H125">
        <v>2</v>
      </c>
    </row>
    <row r="126" spans="1:8">
      <c r="A126">
        <v>10125</v>
      </c>
      <c r="B126" s="1">
        <v>45712</v>
      </c>
      <c r="C126">
        <v>1338.25</v>
      </c>
      <c r="D126">
        <v>56</v>
      </c>
      <c r="E126" t="s">
        <v>43</v>
      </c>
      <c r="F126" t="s">
        <v>9</v>
      </c>
      <c r="G126" t="s">
        <v>10</v>
      </c>
      <c r="H126">
        <v>2</v>
      </c>
    </row>
    <row r="127" spans="1:8">
      <c r="A127">
        <v>10126</v>
      </c>
      <c r="B127" s="1">
        <v>45692</v>
      </c>
      <c r="C127">
        <v>15909.5</v>
      </c>
      <c r="D127">
        <v>22</v>
      </c>
      <c r="E127" t="s">
        <v>60</v>
      </c>
      <c r="F127" t="s">
        <v>18</v>
      </c>
      <c r="G127" t="s">
        <v>10</v>
      </c>
      <c r="H127">
        <v>2</v>
      </c>
    </row>
    <row r="128" spans="1:8">
      <c r="A128">
        <v>10127</v>
      </c>
      <c r="B128" s="1">
        <v>45708</v>
      </c>
      <c r="C128">
        <v>3917.5</v>
      </c>
      <c r="D128">
        <v>27</v>
      </c>
      <c r="E128" t="s">
        <v>34</v>
      </c>
      <c r="F128" t="s">
        <v>18</v>
      </c>
      <c r="G128" t="s">
        <v>19</v>
      </c>
      <c r="H128">
        <v>2</v>
      </c>
    </row>
    <row r="129" spans="1:8">
      <c r="A129">
        <v>10128</v>
      </c>
      <c r="B129" s="1">
        <v>45727</v>
      </c>
      <c r="C129">
        <v>11374</v>
      </c>
      <c r="D129">
        <v>27</v>
      </c>
      <c r="E129" t="s">
        <v>34</v>
      </c>
      <c r="F129" t="s">
        <v>18</v>
      </c>
      <c r="G129" t="s">
        <v>19</v>
      </c>
      <c r="H129">
        <v>3</v>
      </c>
    </row>
    <row r="130" spans="1:8">
      <c r="A130">
        <v>10129</v>
      </c>
      <c r="B130" s="1">
        <v>45743</v>
      </c>
      <c r="C130">
        <v>1824</v>
      </c>
      <c r="D130">
        <v>73</v>
      </c>
      <c r="E130" t="s">
        <v>49</v>
      </c>
      <c r="F130" t="s">
        <v>9</v>
      </c>
      <c r="G130" t="s">
        <v>16</v>
      </c>
      <c r="H130">
        <v>3</v>
      </c>
    </row>
    <row r="131" spans="1:8">
      <c r="A131">
        <v>10130</v>
      </c>
      <c r="B131" s="1">
        <v>45737</v>
      </c>
      <c r="C131">
        <v>2192.5</v>
      </c>
      <c r="D131">
        <v>44</v>
      </c>
      <c r="E131" t="s">
        <v>78</v>
      </c>
      <c r="F131" t="s">
        <v>9</v>
      </c>
      <c r="G131" t="s">
        <v>57</v>
      </c>
      <c r="H131">
        <v>3</v>
      </c>
    </row>
    <row r="132" spans="1:8">
      <c r="A132">
        <v>10131</v>
      </c>
      <c r="B132" s="1">
        <v>45726</v>
      </c>
      <c r="C132">
        <v>4752</v>
      </c>
      <c r="D132">
        <v>28</v>
      </c>
      <c r="E132" t="s">
        <v>79</v>
      </c>
      <c r="F132" t="s">
        <v>18</v>
      </c>
      <c r="G132" t="s">
        <v>12</v>
      </c>
      <c r="H132">
        <v>3</v>
      </c>
    </row>
    <row r="133" spans="1:8">
      <c r="A133">
        <v>10132</v>
      </c>
      <c r="B133" s="1">
        <v>45742</v>
      </c>
      <c r="C133">
        <v>1883.25</v>
      </c>
      <c r="D133">
        <v>55</v>
      </c>
      <c r="E133" t="s">
        <v>63</v>
      </c>
      <c r="F133" t="s">
        <v>9</v>
      </c>
      <c r="G133" t="s">
        <v>19</v>
      </c>
      <c r="H133">
        <v>3</v>
      </c>
    </row>
    <row r="134" spans="1:8">
      <c r="A134">
        <v>10133</v>
      </c>
      <c r="B134" s="1">
        <v>45744</v>
      </c>
      <c r="C134">
        <v>2695.25</v>
      </c>
      <c r="D134">
        <v>61</v>
      </c>
      <c r="E134" t="s">
        <v>33</v>
      </c>
      <c r="F134" t="s">
        <v>9</v>
      </c>
      <c r="G134" t="s">
        <v>16</v>
      </c>
      <c r="H134">
        <v>3</v>
      </c>
    </row>
    <row r="135" spans="1:8">
      <c r="A135">
        <v>10134</v>
      </c>
      <c r="B135" s="1">
        <v>45736</v>
      </c>
      <c r="C135">
        <v>9121</v>
      </c>
      <c r="D135">
        <v>22</v>
      </c>
      <c r="E135" t="s">
        <v>60</v>
      </c>
      <c r="F135" t="s">
        <v>18</v>
      </c>
      <c r="G135" t="s">
        <v>10</v>
      </c>
      <c r="H135">
        <v>3</v>
      </c>
    </row>
    <row r="136" spans="1:8">
      <c r="A136">
        <v>10135</v>
      </c>
      <c r="B136" s="1">
        <v>45739</v>
      </c>
      <c r="C136">
        <v>1213.5</v>
      </c>
      <c r="D136">
        <v>34</v>
      </c>
      <c r="E136" t="s">
        <v>24</v>
      </c>
      <c r="F136" t="s">
        <v>9</v>
      </c>
      <c r="G136" t="s">
        <v>10</v>
      </c>
      <c r="H136">
        <v>3</v>
      </c>
    </row>
    <row r="137" spans="1:8">
      <c r="A137">
        <v>10136</v>
      </c>
      <c r="B137" s="1">
        <v>45739</v>
      </c>
      <c r="C137">
        <v>12556.5</v>
      </c>
      <c r="D137">
        <v>18</v>
      </c>
      <c r="E137" t="s">
        <v>71</v>
      </c>
      <c r="F137" t="s">
        <v>18</v>
      </c>
      <c r="G137" t="s">
        <v>10</v>
      </c>
      <c r="H137">
        <v>3</v>
      </c>
    </row>
    <row r="138" spans="1:8">
      <c r="A138">
        <v>10137</v>
      </c>
      <c r="B138" s="1">
        <v>45735</v>
      </c>
      <c r="C138">
        <v>2894.75</v>
      </c>
      <c r="D138">
        <v>2</v>
      </c>
      <c r="E138" t="s">
        <v>46</v>
      </c>
      <c r="F138" t="s">
        <v>18</v>
      </c>
      <c r="G138" t="s">
        <v>10</v>
      </c>
      <c r="H138">
        <v>3</v>
      </c>
    </row>
    <row r="139" spans="1:8">
      <c r="A139">
        <v>10138</v>
      </c>
      <c r="B139" s="1">
        <v>45722</v>
      </c>
      <c r="C139">
        <v>1591</v>
      </c>
      <c r="D139">
        <v>74</v>
      </c>
      <c r="E139" t="s">
        <v>32</v>
      </c>
      <c r="F139" t="s">
        <v>9</v>
      </c>
      <c r="G139" t="s">
        <v>16</v>
      </c>
      <c r="H139">
        <v>3</v>
      </c>
    </row>
    <row r="140" spans="1:8">
      <c r="A140">
        <v>10139</v>
      </c>
      <c r="B140" s="1">
        <v>45732</v>
      </c>
      <c r="C140">
        <v>2795</v>
      </c>
      <c r="D140">
        <v>39</v>
      </c>
      <c r="E140" t="s">
        <v>25</v>
      </c>
      <c r="F140" t="s">
        <v>9</v>
      </c>
      <c r="G140" t="s">
        <v>19</v>
      </c>
      <c r="H140">
        <v>3</v>
      </c>
    </row>
    <row r="141" spans="1:8">
      <c r="A141">
        <v>10140</v>
      </c>
      <c r="B141" s="1">
        <v>45733</v>
      </c>
      <c r="C141">
        <v>1373</v>
      </c>
      <c r="D141">
        <v>63</v>
      </c>
      <c r="E141" t="s">
        <v>55</v>
      </c>
      <c r="F141" t="s">
        <v>9</v>
      </c>
      <c r="G141" t="s">
        <v>10</v>
      </c>
      <c r="H141">
        <v>3</v>
      </c>
    </row>
    <row r="142" spans="1:8">
      <c r="A142">
        <v>10141</v>
      </c>
      <c r="B142" s="1">
        <v>45736</v>
      </c>
      <c r="C142">
        <v>1060</v>
      </c>
      <c r="D142">
        <v>46</v>
      </c>
      <c r="E142" t="s">
        <v>15</v>
      </c>
      <c r="F142" t="s">
        <v>9</v>
      </c>
      <c r="G142" t="s">
        <v>16</v>
      </c>
      <c r="H142">
        <v>3</v>
      </c>
    </row>
    <row r="143" spans="1:8">
      <c r="A143">
        <v>10142</v>
      </c>
      <c r="B143" s="1">
        <v>45729</v>
      </c>
      <c r="C143">
        <v>636.25</v>
      </c>
      <c r="D143">
        <v>66</v>
      </c>
      <c r="E143" t="s">
        <v>59</v>
      </c>
      <c r="F143" t="s">
        <v>9</v>
      </c>
      <c r="G143" t="s">
        <v>19</v>
      </c>
      <c r="H143">
        <v>3</v>
      </c>
    </row>
    <row r="144" spans="1:8">
      <c r="A144">
        <v>10143</v>
      </c>
      <c r="B144" s="1">
        <v>45735</v>
      </c>
      <c r="C144">
        <v>2411</v>
      </c>
      <c r="D144">
        <v>41</v>
      </c>
      <c r="E144" t="s">
        <v>80</v>
      </c>
      <c r="F144" t="s">
        <v>9</v>
      </c>
      <c r="G144" t="s">
        <v>10</v>
      </c>
      <c r="H144">
        <v>3</v>
      </c>
    </row>
    <row r="145" spans="1:8">
      <c r="A145">
        <v>10144</v>
      </c>
      <c r="B145" s="1">
        <v>45731</v>
      </c>
      <c r="C145">
        <v>2338.75</v>
      </c>
      <c r="D145">
        <v>2</v>
      </c>
      <c r="E145" t="s">
        <v>46</v>
      </c>
      <c r="F145" t="s">
        <v>18</v>
      </c>
      <c r="G145" t="s">
        <v>10</v>
      </c>
      <c r="H145">
        <v>3</v>
      </c>
    </row>
    <row r="146" spans="1:8">
      <c r="A146">
        <v>10145</v>
      </c>
      <c r="B146" s="1">
        <v>45722</v>
      </c>
      <c r="C146">
        <v>1696.5</v>
      </c>
      <c r="D146">
        <v>68</v>
      </c>
      <c r="E146" t="s">
        <v>81</v>
      </c>
      <c r="F146" t="s">
        <v>9</v>
      </c>
      <c r="G146" t="s">
        <v>57</v>
      </c>
      <c r="H146">
        <v>3</v>
      </c>
    </row>
    <row r="147" spans="1:8">
      <c r="A147">
        <v>10146</v>
      </c>
      <c r="B147" s="1">
        <v>45720</v>
      </c>
      <c r="C147">
        <v>1116.25</v>
      </c>
      <c r="D147">
        <v>64</v>
      </c>
      <c r="E147" t="s">
        <v>45</v>
      </c>
      <c r="F147" t="s">
        <v>9</v>
      </c>
      <c r="G147" t="s">
        <v>12</v>
      </c>
      <c r="H147">
        <v>3</v>
      </c>
    </row>
    <row r="148" spans="1:8">
      <c r="A148">
        <v>10147</v>
      </c>
      <c r="B148" s="1">
        <v>45726</v>
      </c>
      <c r="C148">
        <v>2292.75</v>
      </c>
      <c r="D148">
        <v>57</v>
      </c>
      <c r="E148" t="s">
        <v>11</v>
      </c>
      <c r="F148" t="s">
        <v>9</v>
      </c>
      <c r="G148" t="s">
        <v>12</v>
      </c>
      <c r="H148">
        <v>3</v>
      </c>
    </row>
    <row r="149" spans="1:8">
      <c r="A149">
        <v>10148</v>
      </c>
      <c r="B149" s="1">
        <v>45744</v>
      </c>
      <c r="C149">
        <v>1323.25</v>
      </c>
      <c r="D149">
        <v>53</v>
      </c>
      <c r="E149" t="s">
        <v>82</v>
      </c>
      <c r="F149" t="s">
        <v>9</v>
      </c>
      <c r="G149" t="s">
        <v>16</v>
      </c>
      <c r="H149">
        <v>3</v>
      </c>
    </row>
    <row r="150" spans="1:8">
      <c r="A150">
        <v>10149</v>
      </c>
      <c r="B150" s="1">
        <v>45746</v>
      </c>
      <c r="C150">
        <v>559.75</v>
      </c>
      <c r="D150">
        <v>76</v>
      </c>
      <c r="E150" t="s">
        <v>13</v>
      </c>
      <c r="F150" t="s">
        <v>9</v>
      </c>
      <c r="G150" t="s">
        <v>12</v>
      </c>
      <c r="H150">
        <v>3</v>
      </c>
    </row>
    <row r="151" spans="1:8">
      <c r="A151">
        <v>10150</v>
      </c>
      <c r="B151" s="1">
        <v>45721</v>
      </c>
      <c r="C151">
        <v>11401.25</v>
      </c>
      <c r="D151">
        <v>17</v>
      </c>
      <c r="E151" t="s">
        <v>73</v>
      </c>
      <c r="F151" t="s">
        <v>18</v>
      </c>
      <c r="G151" t="s">
        <v>16</v>
      </c>
      <c r="H151">
        <v>3</v>
      </c>
    </row>
    <row r="152" spans="1:8">
      <c r="A152">
        <v>10151</v>
      </c>
      <c r="B152" s="1">
        <v>45718</v>
      </c>
      <c r="C152">
        <v>14098.5</v>
      </c>
      <c r="D152">
        <v>5</v>
      </c>
      <c r="E152" t="s">
        <v>17</v>
      </c>
      <c r="F152" t="s">
        <v>18</v>
      </c>
      <c r="G152" t="s">
        <v>19</v>
      </c>
      <c r="H152">
        <v>3</v>
      </c>
    </row>
    <row r="153" spans="1:8">
      <c r="A153">
        <v>10152</v>
      </c>
      <c r="B153" s="1">
        <v>45743</v>
      </c>
      <c r="C153">
        <v>15988.25</v>
      </c>
      <c r="D153">
        <v>2</v>
      </c>
      <c r="E153" t="s">
        <v>46</v>
      </c>
      <c r="F153" t="s">
        <v>18</v>
      </c>
      <c r="G153" t="s">
        <v>10</v>
      </c>
      <c r="H153">
        <v>3</v>
      </c>
    </row>
    <row r="154" spans="1:8">
      <c r="A154">
        <v>10153</v>
      </c>
      <c r="B154" s="1">
        <v>45740</v>
      </c>
      <c r="C154">
        <v>695</v>
      </c>
      <c r="D154">
        <v>53</v>
      </c>
      <c r="E154" t="s">
        <v>82</v>
      </c>
      <c r="F154" t="s">
        <v>9</v>
      </c>
      <c r="G154" t="s">
        <v>16</v>
      </c>
      <c r="H154">
        <v>3</v>
      </c>
    </row>
    <row r="155" spans="1:8">
      <c r="A155">
        <v>10154</v>
      </c>
      <c r="B155" s="1">
        <v>45738</v>
      </c>
      <c r="C155">
        <v>5030.75</v>
      </c>
      <c r="D155">
        <v>12</v>
      </c>
      <c r="E155" t="s">
        <v>75</v>
      </c>
      <c r="F155" t="s">
        <v>18</v>
      </c>
      <c r="G155" t="s">
        <v>16</v>
      </c>
      <c r="H155">
        <v>3</v>
      </c>
    </row>
    <row r="156" spans="1:8">
      <c r="A156">
        <v>10155</v>
      </c>
      <c r="B156" s="1">
        <v>45724</v>
      </c>
      <c r="C156">
        <v>12621.75</v>
      </c>
      <c r="D156">
        <v>30</v>
      </c>
      <c r="E156" t="s">
        <v>70</v>
      </c>
      <c r="F156" t="s">
        <v>18</v>
      </c>
      <c r="G156" t="s">
        <v>10</v>
      </c>
      <c r="H156">
        <v>3</v>
      </c>
    </row>
    <row r="157" spans="1:8">
      <c r="A157">
        <v>10157</v>
      </c>
      <c r="B157" s="1">
        <v>45731</v>
      </c>
      <c r="C157">
        <v>2328.25</v>
      </c>
      <c r="D157">
        <v>36</v>
      </c>
      <c r="E157" t="s">
        <v>83</v>
      </c>
      <c r="F157" t="s">
        <v>9</v>
      </c>
      <c r="G157" t="s">
        <v>16</v>
      </c>
      <c r="H157">
        <v>3</v>
      </c>
    </row>
    <row r="158" spans="1:8">
      <c r="A158">
        <v>10158</v>
      </c>
      <c r="B158" s="1">
        <v>45744</v>
      </c>
      <c r="C158">
        <v>1766.75</v>
      </c>
      <c r="D158">
        <v>35</v>
      </c>
      <c r="E158" t="s">
        <v>40</v>
      </c>
      <c r="F158" t="s">
        <v>9</v>
      </c>
      <c r="G158" t="s">
        <v>10</v>
      </c>
      <c r="H158">
        <v>3</v>
      </c>
    </row>
    <row r="159" spans="1:8">
      <c r="A159">
        <v>10159</v>
      </c>
      <c r="B159" s="1">
        <v>45724</v>
      </c>
      <c r="C159">
        <v>1631.75</v>
      </c>
      <c r="D159">
        <v>51</v>
      </c>
      <c r="E159" t="s">
        <v>36</v>
      </c>
      <c r="F159" t="s">
        <v>9</v>
      </c>
      <c r="G159" t="s">
        <v>19</v>
      </c>
      <c r="H159">
        <v>3</v>
      </c>
    </row>
    <row r="160" spans="1:8">
      <c r="A160">
        <v>10160</v>
      </c>
      <c r="B160" s="1">
        <v>45746</v>
      </c>
      <c r="C160">
        <v>1154.75</v>
      </c>
      <c r="D160">
        <v>58</v>
      </c>
      <c r="E160" t="s">
        <v>84</v>
      </c>
      <c r="F160" t="s">
        <v>9</v>
      </c>
      <c r="G160" t="s">
        <v>10</v>
      </c>
      <c r="H160">
        <v>3</v>
      </c>
    </row>
    <row r="161" spans="1:8">
      <c r="A161">
        <v>10161</v>
      </c>
      <c r="B161" s="1">
        <v>45732</v>
      </c>
      <c r="C161">
        <v>1529.75</v>
      </c>
      <c r="D161">
        <v>68</v>
      </c>
      <c r="E161" t="s">
        <v>81</v>
      </c>
      <c r="F161" t="s">
        <v>9</v>
      </c>
      <c r="G161" t="s">
        <v>57</v>
      </c>
      <c r="H161">
        <v>3</v>
      </c>
    </row>
    <row r="162" spans="1:8">
      <c r="A162">
        <v>10162</v>
      </c>
      <c r="B162" s="1">
        <v>45727</v>
      </c>
      <c r="C162">
        <v>771.75</v>
      </c>
      <c r="D162">
        <v>45</v>
      </c>
      <c r="E162" t="s">
        <v>62</v>
      </c>
      <c r="F162" t="s">
        <v>9</v>
      </c>
      <c r="G162" t="s">
        <v>10</v>
      </c>
      <c r="H162">
        <v>3</v>
      </c>
    </row>
    <row r="163" spans="1:8">
      <c r="A163">
        <v>10163</v>
      </c>
      <c r="B163" s="1">
        <v>45723</v>
      </c>
      <c r="C163">
        <v>2227.25</v>
      </c>
      <c r="D163">
        <v>74</v>
      </c>
      <c r="E163" t="s">
        <v>32</v>
      </c>
      <c r="F163" t="s">
        <v>9</v>
      </c>
      <c r="G163" t="s">
        <v>16</v>
      </c>
      <c r="H163">
        <v>3</v>
      </c>
    </row>
    <row r="164" spans="1:8">
      <c r="A164">
        <v>10164</v>
      </c>
      <c r="B164" s="1">
        <v>45738</v>
      </c>
      <c r="C164">
        <v>1380.25</v>
      </c>
      <c r="D164">
        <v>32</v>
      </c>
      <c r="E164" t="s">
        <v>65</v>
      </c>
      <c r="F164" t="s">
        <v>9</v>
      </c>
      <c r="G164" t="s">
        <v>12</v>
      </c>
      <c r="H164">
        <v>3</v>
      </c>
    </row>
    <row r="165" spans="1:8">
      <c r="A165">
        <v>10165</v>
      </c>
      <c r="B165" s="1">
        <v>45725</v>
      </c>
      <c r="C165">
        <v>261.75</v>
      </c>
      <c r="D165">
        <v>39</v>
      </c>
      <c r="E165" t="s">
        <v>25</v>
      </c>
      <c r="F165" t="s">
        <v>9</v>
      </c>
      <c r="G165" t="s">
        <v>19</v>
      </c>
      <c r="H165">
        <v>3</v>
      </c>
    </row>
    <row r="166" spans="1:8">
      <c r="A166">
        <v>10166</v>
      </c>
      <c r="B166" s="1">
        <v>45725</v>
      </c>
      <c r="C166">
        <v>3225</v>
      </c>
      <c r="D166">
        <v>8</v>
      </c>
      <c r="E166" t="s">
        <v>41</v>
      </c>
      <c r="F166" t="s">
        <v>18</v>
      </c>
      <c r="G166" t="s">
        <v>16</v>
      </c>
      <c r="H166">
        <v>3</v>
      </c>
    </row>
    <row r="167" spans="1:8">
      <c r="A167">
        <v>10167</v>
      </c>
      <c r="B167" s="1">
        <v>45727</v>
      </c>
      <c r="C167">
        <v>11699</v>
      </c>
      <c r="D167">
        <v>13</v>
      </c>
      <c r="E167" t="s">
        <v>50</v>
      </c>
      <c r="F167" t="s">
        <v>18</v>
      </c>
      <c r="G167" t="s">
        <v>12</v>
      </c>
      <c r="H167">
        <v>3</v>
      </c>
    </row>
    <row r="168" spans="1:8">
      <c r="A168">
        <v>10168</v>
      </c>
      <c r="B168" s="1">
        <v>45717</v>
      </c>
      <c r="C168">
        <v>3584.25</v>
      </c>
      <c r="D168">
        <v>29</v>
      </c>
      <c r="E168" t="s">
        <v>23</v>
      </c>
      <c r="F168" t="s">
        <v>18</v>
      </c>
      <c r="G168" t="s">
        <v>10</v>
      </c>
      <c r="H168">
        <v>3</v>
      </c>
    </row>
    <row r="169" spans="1:8">
      <c r="A169">
        <v>10169</v>
      </c>
      <c r="B169" s="1">
        <v>45741</v>
      </c>
      <c r="C169">
        <v>1185.5</v>
      </c>
      <c r="D169">
        <v>48</v>
      </c>
      <c r="E169" t="s">
        <v>74</v>
      </c>
      <c r="F169" t="s">
        <v>9</v>
      </c>
      <c r="G169" t="s">
        <v>16</v>
      </c>
      <c r="H169">
        <v>3</v>
      </c>
    </row>
    <row r="170" spans="1:8">
      <c r="A170">
        <v>10170</v>
      </c>
      <c r="B170" s="1">
        <v>45736</v>
      </c>
      <c r="C170">
        <v>16189.75</v>
      </c>
      <c r="D170">
        <v>27</v>
      </c>
      <c r="E170" t="s">
        <v>34</v>
      </c>
      <c r="F170" t="s">
        <v>18</v>
      </c>
      <c r="G170" t="s">
        <v>19</v>
      </c>
      <c r="H170">
        <v>3</v>
      </c>
    </row>
    <row r="171" spans="1:8">
      <c r="A171">
        <v>10171</v>
      </c>
      <c r="B171" s="1">
        <v>45742</v>
      </c>
      <c r="C171">
        <v>1018.5</v>
      </c>
      <c r="D171">
        <v>35</v>
      </c>
      <c r="E171" t="s">
        <v>40</v>
      </c>
      <c r="F171" t="s">
        <v>9</v>
      </c>
      <c r="G171" t="s">
        <v>10</v>
      </c>
      <c r="H171">
        <v>3</v>
      </c>
    </row>
    <row r="172" spans="1:8">
      <c r="A172">
        <v>10172</v>
      </c>
      <c r="B172" s="1">
        <v>45723</v>
      </c>
      <c r="C172">
        <v>10982</v>
      </c>
      <c r="D172">
        <v>28</v>
      </c>
      <c r="E172" t="s">
        <v>79</v>
      </c>
      <c r="F172" t="s">
        <v>18</v>
      </c>
      <c r="G172" t="s">
        <v>12</v>
      </c>
      <c r="H172">
        <v>3</v>
      </c>
    </row>
    <row r="173" spans="1:8">
      <c r="A173">
        <v>10173</v>
      </c>
      <c r="B173" s="1">
        <v>45741</v>
      </c>
      <c r="C173">
        <v>562</v>
      </c>
      <c r="D173">
        <v>53</v>
      </c>
      <c r="E173" t="s">
        <v>82</v>
      </c>
      <c r="F173" t="s">
        <v>9</v>
      </c>
      <c r="G173" t="s">
        <v>16</v>
      </c>
      <c r="H173">
        <v>3</v>
      </c>
    </row>
    <row r="174" spans="1:8">
      <c r="A174">
        <v>10174</v>
      </c>
      <c r="B174" s="1">
        <v>45731</v>
      </c>
      <c r="C174">
        <v>1077.5</v>
      </c>
      <c r="D174">
        <v>75</v>
      </c>
      <c r="E174" t="s">
        <v>85</v>
      </c>
      <c r="F174" t="s">
        <v>9</v>
      </c>
      <c r="G174" t="s">
        <v>19</v>
      </c>
      <c r="H174">
        <v>3</v>
      </c>
    </row>
    <row r="175" spans="1:8">
      <c r="A175">
        <v>10175</v>
      </c>
      <c r="B175" s="1">
        <v>45721</v>
      </c>
      <c r="C175">
        <v>1717.25</v>
      </c>
      <c r="D175">
        <v>55</v>
      </c>
      <c r="E175" t="s">
        <v>63</v>
      </c>
      <c r="F175" t="s">
        <v>9</v>
      </c>
      <c r="G175" t="s">
        <v>19</v>
      </c>
      <c r="H175">
        <v>3</v>
      </c>
    </row>
    <row r="176" spans="1:8">
      <c r="A176">
        <v>10176</v>
      </c>
      <c r="B176" s="1">
        <v>45724</v>
      </c>
      <c r="C176">
        <v>8734.5</v>
      </c>
      <c r="D176">
        <v>14</v>
      </c>
      <c r="E176" t="s">
        <v>42</v>
      </c>
      <c r="F176" t="s">
        <v>18</v>
      </c>
      <c r="G176" t="s">
        <v>10</v>
      </c>
      <c r="H176">
        <v>3</v>
      </c>
    </row>
    <row r="177" spans="1:8">
      <c r="A177">
        <v>10177</v>
      </c>
      <c r="B177" s="1">
        <v>45724</v>
      </c>
      <c r="C177">
        <v>7465</v>
      </c>
      <c r="D177">
        <v>16</v>
      </c>
      <c r="E177" t="s">
        <v>21</v>
      </c>
      <c r="F177" t="s">
        <v>18</v>
      </c>
      <c r="G177" t="s">
        <v>10</v>
      </c>
      <c r="H177">
        <v>3</v>
      </c>
    </row>
    <row r="178" spans="1:8">
      <c r="A178">
        <v>10178</v>
      </c>
      <c r="B178" s="1">
        <v>45739</v>
      </c>
      <c r="C178">
        <v>386</v>
      </c>
      <c r="D178">
        <v>61</v>
      </c>
      <c r="E178" t="s">
        <v>33</v>
      </c>
      <c r="F178" t="s">
        <v>9</v>
      </c>
      <c r="G178" t="s">
        <v>16</v>
      </c>
      <c r="H178">
        <v>3</v>
      </c>
    </row>
    <row r="179" spans="1:8">
      <c r="A179">
        <v>10179</v>
      </c>
      <c r="B179" s="1">
        <v>45742</v>
      </c>
      <c r="C179">
        <v>3197.5</v>
      </c>
      <c r="D179">
        <v>21</v>
      </c>
      <c r="E179" t="s">
        <v>37</v>
      </c>
      <c r="F179" t="s">
        <v>18</v>
      </c>
      <c r="G179" t="s">
        <v>16</v>
      </c>
      <c r="H179">
        <v>3</v>
      </c>
    </row>
    <row r="180" spans="1:8">
      <c r="A180">
        <v>10180</v>
      </c>
      <c r="B180" s="1">
        <v>45746</v>
      </c>
      <c r="C180">
        <v>10098.75</v>
      </c>
      <c r="D180">
        <v>14</v>
      </c>
      <c r="E180" t="s">
        <v>42</v>
      </c>
      <c r="F180" t="s">
        <v>18</v>
      </c>
      <c r="G180" t="s">
        <v>10</v>
      </c>
      <c r="H180">
        <v>3</v>
      </c>
    </row>
    <row r="181" spans="1:8">
      <c r="A181">
        <v>10181</v>
      </c>
      <c r="B181" s="1">
        <v>45744</v>
      </c>
      <c r="C181">
        <v>3211.5</v>
      </c>
      <c r="D181">
        <v>20</v>
      </c>
      <c r="E181" t="s">
        <v>30</v>
      </c>
      <c r="F181" t="s">
        <v>18</v>
      </c>
      <c r="G181" t="s">
        <v>10</v>
      </c>
      <c r="H181">
        <v>3</v>
      </c>
    </row>
    <row r="182" spans="1:8">
      <c r="A182">
        <v>10182</v>
      </c>
      <c r="B182" s="1">
        <v>45747</v>
      </c>
      <c r="C182">
        <v>10493</v>
      </c>
      <c r="D182">
        <v>12</v>
      </c>
      <c r="E182" t="s">
        <v>75</v>
      </c>
      <c r="F182" t="s">
        <v>18</v>
      </c>
      <c r="G182" t="s">
        <v>16</v>
      </c>
      <c r="H182">
        <v>3</v>
      </c>
    </row>
    <row r="183" spans="1:8">
      <c r="A183">
        <v>10183</v>
      </c>
      <c r="B183" s="1">
        <v>45735</v>
      </c>
      <c r="C183">
        <v>1582</v>
      </c>
      <c r="D183">
        <v>66</v>
      </c>
      <c r="E183" t="s">
        <v>59</v>
      </c>
      <c r="F183" t="s">
        <v>9</v>
      </c>
      <c r="G183" t="s">
        <v>19</v>
      </c>
      <c r="H183">
        <v>3</v>
      </c>
    </row>
    <row r="184" spans="1:8">
      <c r="A184">
        <v>10184</v>
      </c>
      <c r="B184" s="1">
        <v>45733</v>
      </c>
      <c r="C184">
        <v>3978.25</v>
      </c>
      <c r="D184">
        <v>19</v>
      </c>
      <c r="E184" t="s">
        <v>38</v>
      </c>
      <c r="F184" t="s">
        <v>18</v>
      </c>
      <c r="G184" t="s">
        <v>10</v>
      </c>
      <c r="H184">
        <v>3</v>
      </c>
    </row>
    <row r="185" spans="1:8">
      <c r="A185">
        <v>10185</v>
      </c>
      <c r="B185" s="1">
        <v>45721</v>
      </c>
      <c r="C185">
        <v>2421</v>
      </c>
      <c r="D185">
        <v>74</v>
      </c>
      <c r="E185" t="s">
        <v>32</v>
      </c>
      <c r="F185" t="s">
        <v>9</v>
      </c>
      <c r="G185" t="s">
        <v>16</v>
      </c>
      <c r="H185">
        <v>3</v>
      </c>
    </row>
    <row r="186" spans="1:8">
      <c r="A186">
        <v>10186</v>
      </c>
      <c r="B186" s="1">
        <v>45745</v>
      </c>
      <c r="C186">
        <v>8065</v>
      </c>
      <c r="D186">
        <v>11</v>
      </c>
      <c r="E186" t="s">
        <v>31</v>
      </c>
      <c r="F186" t="s">
        <v>18</v>
      </c>
      <c r="G186" t="s">
        <v>19</v>
      </c>
      <c r="H186">
        <v>3</v>
      </c>
    </row>
    <row r="187" spans="1:8">
      <c r="A187">
        <v>10187</v>
      </c>
      <c r="B187" s="1">
        <v>45737</v>
      </c>
      <c r="C187">
        <v>2742</v>
      </c>
      <c r="D187">
        <v>59</v>
      </c>
      <c r="E187" t="s">
        <v>86</v>
      </c>
      <c r="F187" t="s">
        <v>9</v>
      </c>
      <c r="G187" t="s">
        <v>16</v>
      </c>
      <c r="H187">
        <v>3</v>
      </c>
    </row>
    <row r="188" spans="1:8">
      <c r="A188">
        <v>10188</v>
      </c>
      <c r="B188" s="1">
        <v>45726</v>
      </c>
      <c r="C188">
        <v>1718</v>
      </c>
      <c r="D188">
        <v>39</v>
      </c>
      <c r="E188" t="s">
        <v>25</v>
      </c>
      <c r="F188" t="s">
        <v>9</v>
      </c>
      <c r="G188" t="s">
        <v>19</v>
      </c>
      <c r="H188">
        <v>3</v>
      </c>
    </row>
    <row r="189" spans="1:8">
      <c r="A189">
        <v>10189</v>
      </c>
      <c r="B189" s="1">
        <v>45727</v>
      </c>
      <c r="C189">
        <v>7864</v>
      </c>
      <c r="D189">
        <v>26</v>
      </c>
      <c r="E189" t="s">
        <v>47</v>
      </c>
      <c r="F189" t="s">
        <v>18</v>
      </c>
      <c r="G189" t="s">
        <v>12</v>
      </c>
      <c r="H189">
        <v>3</v>
      </c>
    </row>
    <row r="190" spans="1:8">
      <c r="A190">
        <v>10190</v>
      </c>
      <c r="B190" s="1">
        <v>45744</v>
      </c>
      <c r="C190">
        <v>9958.25</v>
      </c>
      <c r="D190">
        <v>28</v>
      </c>
      <c r="E190" t="s">
        <v>79</v>
      </c>
      <c r="F190" t="s">
        <v>18</v>
      </c>
      <c r="G190" t="s">
        <v>12</v>
      </c>
      <c r="H190">
        <v>3</v>
      </c>
    </row>
    <row r="191" spans="1:8">
      <c r="A191">
        <v>10191</v>
      </c>
      <c r="B191" s="1">
        <v>45728</v>
      </c>
      <c r="C191">
        <v>2059.25</v>
      </c>
      <c r="D191">
        <v>39</v>
      </c>
      <c r="E191" t="s">
        <v>25</v>
      </c>
      <c r="F191" t="s">
        <v>9</v>
      </c>
      <c r="G191" t="s">
        <v>19</v>
      </c>
      <c r="H191">
        <v>3</v>
      </c>
    </row>
    <row r="192" spans="1:8">
      <c r="A192">
        <v>10192</v>
      </c>
      <c r="B192" s="1">
        <v>45733</v>
      </c>
      <c r="C192">
        <v>741.5</v>
      </c>
      <c r="D192">
        <v>58</v>
      </c>
      <c r="E192" t="s">
        <v>84</v>
      </c>
      <c r="F192" t="s">
        <v>9</v>
      </c>
      <c r="G192" t="s">
        <v>10</v>
      </c>
      <c r="H192">
        <v>3</v>
      </c>
    </row>
    <row r="193" spans="1:8">
      <c r="A193">
        <v>10193</v>
      </c>
      <c r="B193" s="1">
        <v>45742</v>
      </c>
      <c r="C193">
        <v>1090.25</v>
      </c>
      <c r="D193">
        <v>74</v>
      </c>
      <c r="E193" t="s">
        <v>32</v>
      </c>
      <c r="F193" t="s">
        <v>9</v>
      </c>
      <c r="G193" t="s">
        <v>16</v>
      </c>
      <c r="H193">
        <v>3</v>
      </c>
    </row>
    <row r="194" spans="1:8">
      <c r="A194">
        <v>10194</v>
      </c>
      <c r="B194" s="1">
        <v>45728</v>
      </c>
      <c r="C194">
        <v>644.5</v>
      </c>
      <c r="D194">
        <v>67</v>
      </c>
      <c r="E194" t="s">
        <v>35</v>
      </c>
      <c r="F194" t="s">
        <v>9</v>
      </c>
      <c r="G194" t="s">
        <v>10</v>
      </c>
      <c r="H194">
        <v>3</v>
      </c>
    </row>
    <row r="195" spans="1:8">
      <c r="A195">
        <v>10195</v>
      </c>
      <c r="B195" s="1">
        <v>45737</v>
      </c>
      <c r="C195">
        <v>1181.75</v>
      </c>
      <c r="D195">
        <v>71</v>
      </c>
      <c r="E195" t="s">
        <v>39</v>
      </c>
      <c r="F195" t="s">
        <v>9</v>
      </c>
      <c r="G195" t="s">
        <v>16</v>
      </c>
      <c r="H195">
        <v>3</v>
      </c>
    </row>
    <row r="196" spans="1:8">
      <c r="A196">
        <v>10196</v>
      </c>
      <c r="B196" s="1">
        <v>45719</v>
      </c>
      <c r="C196">
        <v>812.25</v>
      </c>
      <c r="D196">
        <v>35</v>
      </c>
      <c r="E196" t="s">
        <v>40</v>
      </c>
      <c r="F196" t="s">
        <v>9</v>
      </c>
      <c r="G196" t="s">
        <v>10</v>
      </c>
      <c r="H196">
        <v>3</v>
      </c>
    </row>
    <row r="197" spans="1:8">
      <c r="A197">
        <v>10197</v>
      </c>
      <c r="B197" s="1">
        <v>45727</v>
      </c>
      <c r="C197">
        <v>14899.75</v>
      </c>
      <c r="D197">
        <v>16</v>
      </c>
      <c r="E197" t="s">
        <v>21</v>
      </c>
      <c r="F197" t="s">
        <v>18</v>
      </c>
      <c r="G197" t="s">
        <v>10</v>
      </c>
      <c r="H197">
        <v>3</v>
      </c>
    </row>
    <row r="198" spans="1:8">
      <c r="A198">
        <v>10198</v>
      </c>
      <c r="B198" s="1">
        <v>45746</v>
      </c>
      <c r="C198">
        <v>17322</v>
      </c>
      <c r="D198">
        <v>27</v>
      </c>
      <c r="E198" t="s">
        <v>34</v>
      </c>
      <c r="F198" t="s">
        <v>18</v>
      </c>
      <c r="G198" t="s">
        <v>19</v>
      </c>
      <c r="H198">
        <v>3</v>
      </c>
    </row>
    <row r="199" spans="1:8">
      <c r="A199">
        <v>10199</v>
      </c>
      <c r="B199" s="1">
        <v>45736</v>
      </c>
      <c r="C199">
        <v>7350.5</v>
      </c>
      <c r="D199">
        <v>29</v>
      </c>
      <c r="E199" t="s">
        <v>23</v>
      </c>
      <c r="F199" t="s">
        <v>18</v>
      </c>
      <c r="G199" t="s">
        <v>10</v>
      </c>
      <c r="H199">
        <v>3</v>
      </c>
    </row>
    <row r="200" spans="1:8">
      <c r="A200">
        <v>10200</v>
      </c>
      <c r="B200" s="1">
        <v>45722</v>
      </c>
      <c r="C200">
        <v>385</v>
      </c>
      <c r="D200">
        <v>63</v>
      </c>
      <c r="E200" t="s">
        <v>55</v>
      </c>
      <c r="F200" t="s">
        <v>9</v>
      </c>
      <c r="G200" t="s">
        <v>10</v>
      </c>
      <c r="H200">
        <v>3</v>
      </c>
    </row>
    <row r="201" spans="1:8">
      <c r="A201">
        <v>10201</v>
      </c>
      <c r="B201" s="1">
        <v>45721</v>
      </c>
      <c r="C201">
        <v>9789.25</v>
      </c>
      <c r="D201">
        <v>30</v>
      </c>
      <c r="E201" t="s">
        <v>70</v>
      </c>
      <c r="F201" t="s">
        <v>18</v>
      </c>
      <c r="G201" t="s">
        <v>10</v>
      </c>
      <c r="H201">
        <v>3</v>
      </c>
    </row>
    <row r="202" spans="1:8">
      <c r="A202">
        <v>10202</v>
      </c>
      <c r="B202" s="1">
        <v>45731</v>
      </c>
      <c r="C202">
        <v>10970.5</v>
      </c>
      <c r="D202">
        <v>30</v>
      </c>
      <c r="E202" t="s">
        <v>70</v>
      </c>
      <c r="F202" t="s">
        <v>18</v>
      </c>
      <c r="G202" t="s">
        <v>10</v>
      </c>
      <c r="H202">
        <v>3</v>
      </c>
    </row>
    <row r="203" spans="1:8">
      <c r="A203">
        <v>10203</v>
      </c>
      <c r="B203" s="1">
        <v>45768</v>
      </c>
      <c r="C203">
        <v>2368.5</v>
      </c>
      <c r="D203">
        <v>63</v>
      </c>
      <c r="E203" t="s">
        <v>55</v>
      </c>
      <c r="F203" t="s">
        <v>9</v>
      </c>
      <c r="G203" t="s">
        <v>10</v>
      </c>
      <c r="H203">
        <v>4</v>
      </c>
    </row>
    <row r="204" spans="1:8">
      <c r="A204">
        <v>10204</v>
      </c>
      <c r="B204" s="1">
        <v>45751</v>
      </c>
      <c r="C204">
        <v>1146.75</v>
      </c>
      <c r="D204">
        <v>45</v>
      </c>
      <c r="E204" t="s">
        <v>62</v>
      </c>
      <c r="F204" t="s">
        <v>9</v>
      </c>
      <c r="G204" t="s">
        <v>10</v>
      </c>
      <c r="H204">
        <v>4</v>
      </c>
    </row>
    <row r="205" spans="1:8">
      <c r="A205">
        <v>10205</v>
      </c>
      <c r="B205" s="1">
        <v>45777</v>
      </c>
      <c r="C205">
        <v>11118.5</v>
      </c>
      <c r="D205">
        <v>14</v>
      </c>
      <c r="E205" t="s">
        <v>42</v>
      </c>
      <c r="F205" t="s">
        <v>18</v>
      </c>
      <c r="G205" t="s">
        <v>10</v>
      </c>
      <c r="H205">
        <v>4</v>
      </c>
    </row>
    <row r="206" spans="1:8">
      <c r="A206">
        <v>10206</v>
      </c>
      <c r="B206" s="1">
        <v>45767</v>
      </c>
      <c r="C206">
        <v>16004</v>
      </c>
      <c r="D206">
        <v>4</v>
      </c>
      <c r="E206" t="s">
        <v>26</v>
      </c>
      <c r="F206" t="s">
        <v>18</v>
      </c>
      <c r="G206" t="s">
        <v>16</v>
      </c>
      <c r="H206">
        <v>4</v>
      </c>
    </row>
    <row r="207" spans="1:8">
      <c r="A207">
        <v>10207</v>
      </c>
      <c r="B207" s="1">
        <v>45773</v>
      </c>
      <c r="C207">
        <v>16693</v>
      </c>
      <c r="D207">
        <v>24</v>
      </c>
      <c r="E207" t="s">
        <v>72</v>
      </c>
      <c r="F207" t="s">
        <v>18</v>
      </c>
      <c r="G207" t="s">
        <v>12</v>
      </c>
      <c r="H207">
        <v>4</v>
      </c>
    </row>
    <row r="208" spans="1:8">
      <c r="A208">
        <v>10208</v>
      </c>
      <c r="B208" s="1">
        <v>45766</v>
      </c>
      <c r="C208">
        <v>7193</v>
      </c>
      <c r="D208">
        <v>4</v>
      </c>
      <c r="E208" t="s">
        <v>26</v>
      </c>
      <c r="F208" t="s">
        <v>18</v>
      </c>
      <c r="G208" t="s">
        <v>16</v>
      </c>
      <c r="H208">
        <v>4</v>
      </c>
    </row>
    <row r="209" spans="1:8">
      <c r="A209">
        <v>10209</v>
      </c>
      <c r="B209" s="1">
        <v>45766</v>
      </c>
      <c r="C209">
        <v>2502.75</v>
      </c>
      <c r="D209">
        <v>71</v>
      </c>
      <c r="E209" t="s">
        <v>39</v>
      </c>
      <c r="F209" t="s">
        <v>9</v>
      </c>
      <c r="G209" t="s">
        <v>16</v>
      </c>
      <c r="H209">
        <v>4</v>
      </c>
    </row>
    <row r="210" spans="1:8">
      <c r="A210">
        <v>10210</v>
      </c>
      <c r="B210" s="1">
        <v>45764</v>
      </c>
      <c r="C210">
        <v>2777.5</v>
      </c>
      <c r="D210">
        <v>42</v>
      </c>
      <c r="E210" t="s">
        <v>8</v>
      </c>
      <c r="F210" t="s">
        <v>9</v>
      </c>
      <c r="G210" t="s">
        <v>10</v>
      </c>
      <c r="H210">
        <v>4</v>
      </c>
    </row>
    <row r="211" spans="1:8">
      <c r="A211">
        <v>10211</v>
      </c>
      <c r="B211" s="1">
        <v>45771</v>
      </c>
      <c r="C211">
        <v>1145</v>
      </c>
      <c r="D211">
        <v>54</v>
      </c>
      <c r="E211" t="s">
        <v>53</v>
      </c>
      <c r="F211" t="s">
        <v>9</v>
      </c>
      <c r="G211" t="s">
        <v>12</v>
      </c>
      <c r="H211">
        <v>4</v>
      </c>
    </row>
    <row r="212" spans="1:8">
      <c r="A212">
        <v>10212</v>
      </c>
      <c r="B212" s="1">
        <v>45766</v>
      </c>
      <c r="C212">
        <v>8135.5</v>
      </c>
      <c r="D212">
        <v>29</v>
      </c>
      <c r="E212" t="s">
        <v>23</v>
      </c>
      <c r="F212" t="s">
        <v>18</v>
      </c>
      <c r="G212" t="s">
        <v>10</v>
      </c>
      <c r="H212">
        <v>4</v>
      </c>
    </row>
    <row r="213" spans="1:8">
      <c r="A213">
        <v>10213</v>
      </c>
      <c r="B213" s="1">
        <v>45758</v>
      </c>
      <c r="C213">
        <v>1695.5</v>
      </c>
      <c r="D213">
        <v>62</v>
      </c>
      <c r="E213" t="s">
        <v>28</v>
      </c>
      <c r="F213" t="s">
        <v>9</v>
      </c>
      <c r="G213" t="s">
        <v>10</v>
      </c>
      <c r="H213">
        <v>4</v>
      </c>
    </row>
    <row r="214" spans="1:8">
      <c r="A214">
        <v>10214</v>
      </c>
      <c r="B214" s="1">
        <v>45757</v>
      </c>
      <c r="C214">
        <v>303.25</v>
      </c>
      <c r="D214">
        <v>36</v>
      </c>
      <c r="E214" t="s">
        <v>83</v>
      </c>
      <c r="F214" t="s">
        <v>9</v>
      </c>
      <c r="G214" t="s">
        <v>16</v>
      </c>
      <c r="H214">
        <v>4</v>
      </c>
    </row>
    <row r="215" spans="1:8">
      <c r="A215">
        <v>10215</v>
      </c>
      <c r="B215" s="1">
        <v>45755</v>
      </c>
      <c r="C215">
        <v>13728.5</v>
      </c>
      <c r="D215">
        <v>28</v>
      </c>
      <c r="E215" t="s">
        <v>79</v>
      </c>
      <c r="F215" t="s">
        <v>18</v>
      </c>
      <c r="G215" t="s">
        <v>12</v>
      </c>
      <c r="H215">
        <v>4</v>
      </c>
    </row>
    <row r="216" spans="1:8">
      <c r="A216">
        <v>10216</v>
      </c>
      <c r="B216" s="1">
        <v>45754</v>
      </c>
      <c r="C216">
        <v>1125.25</v>
      </c>
      <c r="D216">
        <v>48</v>
      </c>
      <c r="E216" t="s">
        <v>74</v>
      </c>
      <c r="F216" t="s">
        <v>9</v>
      </c>
      <c r="G216" t="s">
        <v>16</v>
      </c>
      <c r="H216">
        <v>4</v>
      </c>
    </row>
    <row r="217" spans="1:8">
      <c r="A217">
        <v>10218</v>
      </c>
      <c r="B217" s="1">
        <v>45763</v>
      </c>
      <c r="C217">
        <v>342.25</v>
      </c>
      <c r="D217">
        <v>74</v>
      </c>
      <c r="E217" t="s">
        <v>32</v>
      </c>
      <c r="F217" t="s">
        <v>9</v>
      </c>
      <c r="G217" t="s">
        <v>16</v>
      </c>
      <c r="H217">
        <v>4</v>
      </c>
    </row>
    <row r="218" spans="1:8">
      <c r="A218">
        <v>10219</v>
      </c>
      <c r="B218" s="1">
        <v>45755</v>
      </c>
      <c r="C218">
        <v>2752.5</v>
      </c>
      <c r="D218">
        <v>46</v>
      </c>
      <c r="E218" t="s">
        <v>15</v>
      </c>
      <c r="F218" t="s">
        <v>9</v>
      </c>
      <c r="G218" t="s">
        <v>16</v>
      </c>
      <c r="H218">
        <v>4</v>
      </c>
    </row>
    <row r="219" spans="1:8">
      <c r="A219">
        <v>10220</v>
      </c>
      <c r="B219" s="1">
        <v>45755</v>
      </c>
      <c r="C219">
        <v>1591.25</v>
      </c>
      <c r="D219">
        <v>38</v>
      </c>
      <c r="E219" t="s">
        <v>52</v>
      </c>
      <c r="F219" t="s">
        <v>9</v>
      </c>
      <c r="G219" t="s">
        <v>19</v>
      </c>
      <c r="H219">
        <v>4</v>
      </c>
    </row>
    <row r="220" spans="1:8">
      <c r="A220">
        <v>10221</v>
      </c>
      <c r="B220" s="1">
        <v>45757</v>
      </c>
      <c r="C220">
        <v>13158.5</v>
      </c>
      <c r="D220">
        <v>4</v>
      </c>
      <c r="E220" t="s">
        <v>26</v>
      </c>
      <c r="F220" t="s">
        <v>18</v>
      </c>
      <c r="G220" t="s">
        <v>16</v>
      </c>
      <c r="H220">
        <v>4</v>
      </c>
    </row>
    <row r="221" spans="1:8">
      <c r="A221">
        <v>10222</v>
      </c>
      <c r="B221" s="1">
        <v>45763</v>
      </c>
      <c r="C221">
        <v>17524.5</v>
      </c>
      <c r="D221">
        <v>26</v>
      </c>
      <c r="E221" t="s">
        <v>47</v>
      </c>
      <c r="F221" t="s">
        <v>18</v>
      </c>
      <c r="G221" t="s">
        <v>12</v>
      </c>
      <c r="H221">
        <v>4</v>
      </c>
    </row>
    <row r="222" spans="1:8">
      <c r="A222">
        <v>10223</v>
      </c>
      <c r="B222" s="1">
        <v>45765</v>
      </c>
      <c r="C222">
        <v>6218</v>
      </c>
      <c r="D222">
        <v>8</v>
      </c>
      <c r="E222" t="s">
        <v>41</v>
      </c>
      <c r="F222" t="s">
        <v>18</v>
      </c>
      <c r="G222" t="s">
        <v>16</v>
      </c>
      <c r="H222">
        <v>4</v>
      </c>
    </row>
    <row r="223" spans="1:8">
      <c r="A223">
        <v>10224</v>
      </c>
      <c r="B223" s="1">
        <v>45751</v>
      </c>
      <c r="C223">
        <v>6674.5</v>
      </c>
      <c r="D223">
        <v>16</v>
      </c>
      <c r="E223" t="s">
        <v>21</v>
      </c>
      <c r="F223" t="s">
        <v>18</v>
      </c>
      <c r="G223" t="s">
        <v>10</v>
      </c>
      <c r="H223">
        <v>4</v>
      </c>
    </row>
    <row r="224" spans="1:8">
      <c r="A224">
        <v>10225</v>
      </c>
      <c r="B224" s="1">
        <v>45765</v>
      </c>
      <c r="C224">
        <v>649.75</v>
      </c>
      <c r="D224">
        <v>31</v>
      </c>
      <c r="E224" t="s">
        <v>77</v>
      </c>
      <c r="F224" t="s">
        <v>9</v>
      </c>
      <c r="G224" t="s">
        <v>16</v>
      </c>
      <c r="H224">
        <v>4</v>
      </c>
    </row>
    <row r="225" spans="1:8">
      <c r="A225">
        <v>10226</v>
      </c>
      <c r="B225" s="1">
        <v>45751</v>
      </c>
      <c r="C225">
        <v>16117</v>
      </c>
      <c r="D225">
        <v>12</v>
      </c>
      <c r="E225" t="s">
        <v>75</v>
      </c>
      <c r="F225" t="s">
        <v>18</v>
      </c>
      <c r="G225" t="s">
        <v>16</v>
      </c>
      <c r="H225">
        <v>4</v>
      </c>
    </row>
    <row r="226" spans="1:8">
      <c r="A226">
        <v>10227</v>
      </c>
      <c r="B226" s="1">
        <v>45752</v>
      </c>
      <c r="C226">
        <v>1527</v>
      </c>
      <c r="D226">
        <v>38</v>
      </c>
      <c r="E226" t="s">
        <v>52</v>
      </c>
      <c r="F226" t="s">
        <v>9</v>
      </c>
      <c r="G226" t="s">
        <v>19</v>
      </c>
      <c r="H226">
        <v>4</v>
      </c>
    </row>
    <row r="227" spans="1:8">
      <c r="A227">
        <v>10228</v>
      </c>
      <c r="B227" s="1">
        <v>45766</v>
      </c>
      <c r="C227">
        <v>270</v>
      </c>
      <c r="D227">
        <v>40</v>
      </c>
      <c r="E227" t="s">
        <v>58</v>
      </c>
      <c r="F227" t="s">
        <v>9</v>
      </c>
      <c r="G227" t="s">
        <v>19</v>
      </c>
      <c r="H227">
        <v>4</v>
      </c>
    </row>
    <row r="228" spans="1:8">
      <c r="A228">
        <v>10229</v>
      </c>
      <c r="B228" s="1">
        <v>45755</v>
      </c>
      <c r="C228">
        <v>2615.25</v>
      </c>
      <c r="D228">
        <v>68</v>
      </c>
      <c r="E228" t="s">
        <v>81</v>
      </c>
      <c r="F228" t="s">
        <v>9</v>
      </c>
      <c r="G228" t="s">
        <v>57</v>
      </c>
      <c r="H228">
        <v>4</v>
      </c>
    </row>
    <row r="229" spans="1:8">
      <c r="A229">
        <v>10230</v>
      </c>
      <c r="B229" s="1">
        <v>45765</v>
      </c>
      <c r="C229">
        <v>2525</v>
      </c>
      <c r="D229">
        <v>65</v>
      </c>
      <c r="E229" t="s">
        <v>69</v>
      </c>
      <c r="F229" t="s">
        <v>9</v>
      </c>
      <c r="G229" t="s">
        <v>19</v>
      </c>
      <c r="H229">
        <v>4</v>
      </c>
    </row>
    <row r="230" spans="1:8">
      <c r="A230">
        <v>10231</v>
      </c>
      <c r="B230" s="1">
        <v>45748</v>
      </c>
      <c r="C230">
        <v>15981.75</v>
      </c>
      <c r="D230">
        <v>8</v>
      </c>
      <c r="E230" t="s">
        <v>41</v>
      </c>
      <c r="F230" t="s">
        <v>18</v>
      </c>
      <c r="G230" t="s">
        <v>16</v>
      </c>
      <c r="H230">
        <v>4</v>
      </c>
    </row>
    <row r="231" spans="1:8">
      <c r="A231">
        <v>10232</v>
      </c>
      <c r="B231" s="1">
        <v>45764</v>
      </c>
      <c r="C231">
        <v>1928.25</v>
      </c>
      <c r="D231">
        <v>50</v>
      </c>
      <c r="E231" t="s">
        <v>22</v>
      </c>
      <c r="F231" t="s">
        <v>9</v>
      </c>
      <c r="G231" t="s">
        <v>16</v>
      </c>
      <c r="H231">
        <v>4</v>
      </c>
    </row>
    <row r="232" spans="1:8">
      <c r="A232">
        <v>10233</v>
      </c>
      <c r="B232" s="1">
        <v>45749</v>
      </c>
      <c r="C232">
        <v>3313.5</v>
      </c>
      <c r="D232">
        <v>21</v>
      </c>
      <c r="E232" t="s">
        <v>37</v>
      </c>
      <c r="F232" t="s">
        <v>18</v>
      </c>
      <c r="G232" t="s">
        <v>16</v>
      </c>
      <c r="H232">
        <v>4</v>
      </c>
    </row>
    <row r="233" spans="1:8">
      <c r="A233">
        <v>10234</v>
      </c>
      <c r="B233" s="1">
        <v>45776</v>
      </c>
      <c r="C233">
        <v>10414.75</v>
      </c>
      <c r="D233">
        <v>30</v>
      </c>
      <c r="E233" t="s">
        <v>70</v>
      </c>
      <c r="F233" t="s">
        <v>18</v>
      </c>
      <c r="G233" t="s">
        <v>10</v>
      </c>
      <c r="H233">
        <v>4</v>
      </c>
    </row>
    <row r="234" spans="1:8">
      <c r="A234">
        <v>10235</v>
      </c>
      <c r="B234" s="1">
        <v>45755</v>
      </c>
      <c r="C234">
        <v>2800.5</v>
      </c>
      <c r="D234">
        <v>59</v>
      </c>
      <c r="E234" t="s">
        <v>86</v>
      </c>
      <c r="F234" t="s">
        <v>9</v>
      </c>
      <c r="G234" t="s">
        <v>16</v>
      </c>
      <c r="H234">
        <v>4</v>
      </c>
    </row>
    <row r="235" spans="1:8">
      <c r="A235">
        <v>10236</v>
      </c>
      <c r="B235" s="1">
        <v>45767</v>
      </c>
      <c r="C235">
        <v>864.75</v>
      </c>
      <c r="D235">
        <v>52</v>
      </c>
      <c r="E235" t="s">
        <v>61</v>
      </c>
      <c r="F235" t="s">
        <v>9</v>
      </c>
      <c r="G235" t="s">
        <v>12</v>
      </c>
      <c r="H235">
        <v>4</v>
      </c>
    </row>
    <row r="236" spans="1:8">
      <c r="A236">
        <v>10237</v>
      </c>
      <c r="B236" s="1">
        <v>45749</v>
      </c>
      <c r="C236">
        <v>16458.75</v>
      </c>
      <c r="D236">
        <v>3</v>
      </c>
      <c r="E236" t="s">
        <v>27</v>
      </c>
      <c r="F236" t="s">
        <v>18</v>
      </c>
      <c r="G236" t="s">
        <v>12</v>
      </c>
      <c r="H236">
        <v>4</v>
      </c>
    </row>
    <row r="237" spans="1:8">
      <c r="A237">
        <v>10238</v>
      </c>
      <c r="B237" s="1">
        <v>45766</v>
      </c>
      <c r="C237">
        <v>1807.5</v>
      </c>
      <c r="D237">
        <v>71</v>
      </c>
      <c r="E237" t="s">
        <v>39</v>
      </c>
      <c r="F237" t="s">
        <v>9</v>
      </c>
      <c r="G237" t="s">
        <v>16</v>
      </c>
      <c r="H237">
        <v>4</v>
      </c>
    </row>
    <row r="238" spans="1:8">
      <c r="A238">
        <v>10239</v>
      </c>
      <c r="B238" s="1">
        <v>45760</v>
      </c>
      <c r="C238">
        <v>14751.5</v>
      </c>
      <c r="D238">
        <v>3</v>
      </c>
      <c r="E238" t="s">
        <v>27</v>
      </c>
      <c r="F238" t="s">
        <v>18</v>
      </c>
      <c r="G238" t="s">
        <v>12</v>
      </c>
      <c r="H238">
        <v>4</v>
      </c>
    </row>
    <row r="239" spans="1:8">
      <c r="A239">
        <v>10240</v>
      </c>
      <c r="B239" s="1">
        <v>45750</v>
      </c>
      <c r="C239">
        <v>2526.25</v>
      </c>
      <c r="D239">
        <v>75</v>
      </c>
      <c r="E239" t="s">
        <v>85</v>
      </c>
      <c r="F239" t="s">
        <v>9</v>
      </c>
      <c r="G239" t="s">
        <v>19</v>
      </c>
      <c r="H239">
        <v>4</v>
      </c>
    </row>
    <row r="240" spans="1:8">
      <c r="A240">
        <v>10241</v>
      </c>
      <c r="B240" s="1">
        <v>45762</v>
      </c>
      <c r="C240">
        <v>6600.25</v>
      </c>
      <c r="D240">
        <v>27</v>
      </c>
      <c r="E240" t="s">
        <v>34</v>
      </c>
      <c r="F240" t="s">
        <v>18</v>
      </c>
      <c r="G240" t="s">
        <v>19</v>
      </c>
      <c r="H240">
        <v>4</v>
      </c>
    </row>
    <row r="241" spans="1:8">
      <c r="A241">
        <v>10242</v>
      </c>
      <c r="B241" s="1">
        <v>45763</v>
      </c>
      <c r="C241">
        <v>1639</v>
      </c>
      <c r="D241">
        <v>45</v>
      </c>
      <c r="E241" t="s">
        <v>62</v>
      </c>
      <c r="F241" t="s">
        <v>9</v>
      </c>
      <c r="G241" t="s">
        <v>10</v>
      </c>
      <c r="H241">
        <v>4</v>
      </c>
    </row>
    <row r="242" spans="1:8">
      <c r="A242">
        <v>10243</v>
      </c>
      <c r="B242" s="1">
        <v>45760</v>
      </c>
      <c r="C242">
        <v>13177</v>
      </c>
      <c r="D242">
        <v>10</v>
      </c>
      <c r="E242" t="s">
        <v>64</v>
      </c>
      <c r="F242" t="s">
        <v>18</v>
      </c>
      <c r="G242" t="s">
        <v>19</v>
      </c>
      <c r="H242">
        <v>4</v>
      </c>
    </row>
    <row r="243" spans="1:8">
      <c r="A243">
        <v>10244</v>
      </c>
      <c r="B243" s="1">
        <v>45756</v>
      </c>
      <c r="C243">
        <v>658.25</v>
      </c>
      <c r="D243">
        <v>36</v>
      </c>
      <c r="E243" t="s">
        <v>83</v>
      </c>
      <c r="F243" t="s">
        <v>9</v>
      </c>
      <c r="G243" t="s">
        <v>16</v>
      </c>
      <c r="H243">
        <v>4</v>
      </c>
    </row>
    <row r="244" spans="1:8">
      <c r="A244">
        <v>10245</v>
      </c>
      <c r="B244" s="1">
        <v>45749</v>
      </c>
      <c r="C244">
        <v>7212.5</v>
      </c>
      <c r="D244">
        <v>26</v>
      </c>
      <c r="E244" t="s">
        <v>47</v>
      </c>
      <c r="F244" t="s">
        <v>18</v>
      </c>
      <c r="G244" t="s">
        <v>12</v>
      </c>
      <c r="H244">
        <v>4</v>
      </c>
    </row>
    <row r="245" spans="1:8">
      <c r="A245">
        <v>10246</v>
      </c>
      <c r="B245" s="1">
        <v>45774</v>
      </c>
      <c r="C245">
        <v>575.5</v>
      </c>
      <c r="D245">
        <v>46</v>
      </c>
      <c r="E245" t="s">
        <v>15</v>
      </c>
      <c r="F245" t="s">
        <v>9</v>
      </c>
      <c r="G245" t="s">
        <v>16</v>
      </c>
      <c r="H245">
        <v>4</v>
      </c>
    </row>
    <row r="246" spans="1:8">
      <c r="A246">
        <v>10247</v>
      </c>
      <c r="B246" s="1">
        <v>45756</v>
      </c>
      <c r="C246">
        <v>2513.5</v>
      </c>
      <c r="D246">
        <v>70</v>
      </c>
      <c r="E246" t="s">
        <v>87</v>
      </c>
      <c r="F246" t="s">
        <v>9</v>
      </c>
      <c r="G246" t="s">
        <v>12</v>
      </c>
      <c r="H246">
        <v>4</v>
      </c>
    </row>
    <row r="247" spans="1:8">
      <c r="A247">
        <v>10248</v>
      </c>
      <c r="B247" s="1">
        <v>45765</v>
      </c>
      <c r="C247">
        <v>2932.5</v>
      </c>
      <c r="D247">
        <v>8</v>
      </c>
      <c r="E247" t="s">
        <v>41</v>
      </c>
      <c r="F247" t="s">
        <v>18</v>
      </c>
      <c r="G247" t="s">
        <v>16</v>
      </c>
      <c r="H247">
        <v>4</v>
      </c>
    </row>
    <row r="248" spans="1:8">
      <c r="A248">
        <v>10249</v>
      </c>
      <c r="B248" s="1">
        <v>45771</v>
      </c>
      <c r="C248">
        <v>15554</v>
      </c>
      <c r="D248">
        <v>10</v>
      </c>
      <c r="E248" t="s">
        <v>64</v>
      </c>
      <c r="F248" t="s">
        <v>18</v>
      </c>
      <c r="G248" t="s">
        <v>19</v>
      </c>
      <c r="H248">
        <v>4</v>
      </c>
    </row>
    <row r="249" spans="1:8">
      <c r="A249">
        <v>10250</v>
      </c>
      <c r="B249" s="1">
        <v>45759</v>
      </c>
      <c r="C249">
        <v>10075.75</v>
      </c>
      <c r="D249">
        <v>15</v>
      </c>
      <c r="E249" t="s">
        <v>51</v>
      </c>
      <c r="F249" t="s">
        <v>18</v>
      </c>
      <c r="G249" t="s">
        <v>10</v>
      </c>
      <c r="H249">
        <v>4</v>
      </c>
    </row>
    <row r="250" spans="1:8">
      <c r="A250">
        <v>10251</v>
      </c>
      <c r="B250" s="1">
        <v>45774</v>
      </c>
      <c r="C250">
        <v>417</v>
      </c>
      <c r="D250">
        <v>41</v>
      </c>
      <c r="E250" t="s">
        <v>80</v>
      </c>
      <c r="F250" t="s">
        <v>9</v>
      </c>
      <c r="G250" t="s">
        <v>10</v>
      </c>
      <c r="H250">
        <v>4</v>
      </c>
    </row>
    <row r="251" spans="1:8">
      <c r="A251">
        <v>10252</v>
      </c>
      <c r="B251" s="1">
        <v>45756</v>
      </c>
      <c r="C251">
        <v>1687.5</v>
      </c>
      <c r="D251">
        <v>61</v>
      </c>
      <c r="E251" t="s">
        <v>33</v>
      </c>
      <c r="F251" t="s">
        <v>9</v>
      </c>
      <c r="G251" t="s">
        <v>16</v>
      </c>
      <c r="H251">
        <v>4</v>
      </c>
    </row>
    <row r="252" spans="1:8">
      <c r="A252">
        <v>10253</v>
      </c>
      <c r="B252" s="1">
        <v>45761</v>
      </c>
      <c r="C252">
        <v>2489.25</v>
      </c>
      <c r="D252">
        <v>16</v>
      </c>
      <c r="E252" t="s">
        <v>21</v>
      </c>
      <c r="F252" t="s">
        <v>18</v>
      </c>
      <c r="G252" t="s">
        <v>10</v>
      </c>
      <c r="H252">
        <v>4</v>
      </c>
    </row>
    <row r="253" spans="1:8">
      <c r="A253">
        <v>10254</v>
      </c>
      <c r="B253" s="1">
        <v>45764</v>
      </c>
      <c r="C253">
        <v>1514</v>
      </c>
      <c r="D253">
        <v>67</v>
      </c>
      <c r="E253" t="s">
        <v>35</v>
      </c>
      <c r="F253" t="s">
        <v>9</v>
      </c>
      <c r="G253" t="s">
        <v>10</v>
      </c>
      <c r="H253">
        <v>4</v>
      </c>
    </row>
    <row r="254" spans="1:8">
      <c r="A254">
        <v>10255</v>
      </c>
      <c r="B254" s="1">
        <v>45761</v>
      </c>
      <c r="C254">
        <v>1464.5</v>
      </c>
      <c r="D254">
        <v>72</v>
      </c>
      <c r="E254" t="s">
        <v>76</v>
      </c>
      <c r="F254" t="s">
        <v>9</v>
      </c>
      <c r="G254" t="s">
        <v>12</v>
      </c>
      <c r="H254">
        <v>4</v>
      </c>
    </row>
    <row r="255" spans="1:8">
      <c r="A255">
        <v>10256</v>
      </c>
      <c r="B255" s="1">
        <v>45755</v>
      </c>
      <c r="C255">
        <v>8352.5</v>
      </c>
      <c r="D255">
        <v>10</v>
      </c>
      <c r="E255" t="s">
        <v>64</v>
      </c>
      <c r="F255" t="s">
        <v>18</v>
      </c>
      <c r="G255" t="s">
        <v>19</v>
      </c>
      <c r="H255">
        <v>4</v>
      </c>
    </row>
    <row r="256" spans="1:8">
      <c r="A256">
        <v>10257</v>
      </c>
      <c r="B256" s="1">
        <v>45764</v>
      </c>
      <c r="C256">
        <v>461.5</v>
      </c>
      <c r="D256">
        <v>50</v>
      </c>
      <c r="E256" t="s">
        <v>22</v>
      </c>
      <c r="F256" t="s">
        <v>9</v>
      </c>
      <c r="G256" t="s">
        <v>16</v>
      </c>
      <c r="H256">
        <v>4</v>
      </c>
    </row>
    <row r="257" spans="1:8">
      <c r="A257">
        <v>10258</v>
      </c>
      <c r="B257" s="1">
        <v>45775</v>
      </c>
      <c r="C257">
        <v>637.5</v>
      </c>
      <c r="D257">
        <v>32</v>
      </c>
      <c r="E257" t="s">
        <v>65</v>
      </c>
      <c r="F257" t="s">
        <v>9</v>
      </c>
      <c r="G257" t="s">
        <v>12</v>
      </c>
      <c r="H257">
        <v>4</v>
      </c>
    </row>
    <row r="258" spans="1:8">
      <c r="A258">
        <v>10259</v>
      </c>
      <c r="B258" s="1">
        <v>45753</v>
      </c>
      <c r="C258">
        <v>7093</v>
      </c>
      <c r="D258">
        <v>4</v>
      </c>
      <c r="E258" t="s">
        <v>26</v>
      </c>
      <c r="F258" t="s">
        <v>18</v>
      </c>
      <c r="G258" t="s">
        <v>16</v>
      </c>
      <c r="H258">
        <v>4</v>
      </c>
    </row>
    <row r="259" spans="1:8">
      <c r="A259">
        <v>10260</v>
      </c>
      <c r="B259" s="1">
        <v>45759</v>
      </c>
      <c r="C259">
        <v>2080.5</v>
      </c>
      <c r="D259">
        <v>44</v>
      </c>
      <c r="E259" t="s">
        <v>78</v>
      </c>
      <c r="F259" t="s">
        <v>9</v>
      </c>
      <c r="G259" t="s">
        <v>57</v>
      </c>
      <c r="H259">
        <v>4</v>
      </c>
    </row>
    <row r="260" spans="1:8">
      <c r="A260">
        <v>10261</v>
      </c>
      <c r="B260" s="1">
        <v>45765</v>
      </c>
      <c r="C260">
        <v>1392.25</v>
      </c>
      <c r="D260">
        <v>61</v>
      </c>
      <c r="E260" t="s">
        <v>33</v>
      </c>
      <c r="F260" t="s">
        <v>9</v>
      </c>
      <c r="G260" t="s">
        <v>16</v>
      </c>
      <c r="H260">
        <v>4</v>
      </c>
    </row>
    <row r="261" spans="1:8">
      <c r="A261">
        <v>10262</v>
      </c>
      <c r="B261" s="1">
        <v>45771</v>
      </c>
      <c r="C261">
        <v>1525.75</v>
      </c>
      <c r="D261">
        <v>48</v>
      </c>
      <c r="E261" t="s">
        <v>74</v>
      </c>
      <c r="F261" t="s">
        <v>9</v>
      </c>
      <c r="G261" t="s">
        <v>16</v>
      </c>
      <c r="H261">
        <v>4</v>
      </c>
    </row>
    <row r="262" spans="1:8">
      <c r="A262">
        <v>10263</v>
      </c>
      <c r="B262" s="1">
        <v>45769</v>
      </c>
      <c r="C262">
        <v>780</v>
      </c>
      <c r="D262">
        <v>37</v>
      </c>
      <c r="E262" t="s">
        <v>14</v>
      </c>
      <c r="F262" t="s">
        <v>9</v>
      </c>
      <c r="G262" t="s">
        <v>12</v>
      </c>
      <c r="H262">
        <v>4</v>
      </c>
    </row>
    <row r="263" spans="1:8">
      <c r="A263">
        <v>10264</v>
      </c>
      <c r="B263" s="1">
        <v>45751</v>
      </c>
      <c r="C263">
        <v>1460.75</v>
      </c>
      <c r="D263">
        <v>46</v>
      </c>
      <c r="E263" t="s">
        <v>15</v>
      </c>
      <c r="F263" t="s">
        <v>9</v>
      </c>
      <c r="G263" t="s">
        <v>16</v>
      </c>
      <c r="H263">
        <v>4</v>
      </c>
    </row>
    <row r="264" spans="1:8">
      <c r="A264">
        <v>10265</v>
      </c>
      <c r="B264" s="1">
        <v>45771</v>
      </c>
      <c r="C264">
        <v>13385</v>
      </c>
      <c r="D264">
        <v>2</v>
      </c>
      <c r="E264" t="s">
        <v>46</v>
      </c>
      <c r="F264" t="s">
        <v>18</v>
      </c>
      <c r="G264" t="s">
        <v>10</v>
      </c>
      <c r="H264">
        <v>4</v>
      </c>
    </row>
    <row r="265" spans="1:8">
      <c r="A265">
        <v>10266</v>
      </c>
      <c r="B265" s="1">
        <v>45767</v>
      </c>
      <c r="C265">
        <v>322.25</v>
      </c>
      <c r="D265">
        <v>33</v>
      </c>
      <c r="E265" t="s">
        <v>20</v>
      </c>
      <c r="F265" t="s">
        <v>9</v>
      </c>
      <c r="G265" t="s">
        <v>10</v>
      </c>
      <c r="H265">
        <v>4</v>
      </c>
    </row>
    <row r="266" spans="1:8">
      <c r="A266">
        <v>10267</v>
      </c>
      <c r="B266" s="1">
        <v>45769</v>
      </c>
      <c r="C266">
        <v>7025</v>
      </c>
      <c r="D266">
        <v>5</v>
      </c>
      <c r="E266" t="s">
        <v>17</v>
      </c>
      <c r="F266" t="s">
        <v>18</v>
      </c>
      <c r="G266" t="s">
        <v>19</v>
      </c>
      <c r="H266">
        <v>4</v>
      </c>
    </row>
    <row r="267" spans="1:8">
      <c r="A267">
        <v>10268</v>
      </c>
      <c r="B267" s="1">
        <v>45759</v>
      </c>
      <c r="C267">
        <v>340.5</v>
      </c>
      <c r="D267">
        <v>64</v>
      </c>
      <c r="E267" t="s">
        <v>45</v>
      </c>
      <c r="F267" t="s">
        <v>9</v>
      </c>
      <c r="G267" t="s">
        <v>12</v>
      </c>
      <c r="H267">
        <v>4</v>
      </c>
    </row>
    <row r="268" spans="1:8">
      <c r="A268">
        <v>10269</v>
      </c>
      <c r="B268" s="1">
        <v>45770</v>
      </c>
      <c r="C268">
        <v>2473.25</v>
      </c>
      <c r="D268">
        <v>21</v>
      </c>
      <c r="E268" t="s">
        <v>37</v>
      </c>
      <c r="F268" t="s">
        <v>18</v>
      </c>
      <c r="G268" t="s">
        <v>16</v>
      </c>
      <c r="H268">
        <v>4</v>
      </c>
    </row>
    <row r="269" spans="1:8">
      <c r="A269">
        <v>10270</v>
      </c>
      <c r="B269" s="1">
        <v>45767</v>
      </c>
      <c r="C269">
        <v>1338.25</v>
      </c>
      <c r="D269">
        <v>36</v>
      </c>
      <c r="E269" t="s">
        <v>83</v>
      </c>
      <c r="F269" t="s">
        <v>9</v>
      </c>
      <c r="G269" t="s">
        <v>16</v>
      </c>
      <c r="H269">
        <v>4</v>
      </c>
    </row>
    <row r="270" spans="1:8">
      <c r="A270">
        <v>10271</v>
      </c>
      <c r="B270" s="1">
        <v>45757</v>
      </c>
      <c r="C270">
        <v>5558.5</v>
      </c>
      <c r="D270">
        <v>17</v>
      </c>
      <c r="E270" t="s">
        <v>73</v>
      </c>
      <c r="F270" t="s">
        <v>18</v>
      </c>
      <c r="G270" t="s">
        <v>16</v>
      </c>
      <c r="H270">
        <v>4</v>
      </c>
    </row>
    <row r="271" spans="1:8">
      <c r="A271">
        <v>10272</v>
      </c>
      <c r="B271" s="1">
        <v>45768</v>
      </c>
      <c r="C271">
        <v>12057.25</v>
      </c>
      <c r="D271">
        <v>20</v>
      </c>
      <c r="E271" t="s">
        <v>30</v>
      </c>
      <c r="F271" t="s">
        <v>18</v>
      </c>
      <c r="G271" t="s">
        <v>10</v>
      </c>
      <c r="H271">
        <v>4</v>
      </c>
    </row>
    <row r="272" spans="1:8">
      <c r="A272">
        <v>10273</v>
      </c>
      <c r="B272" s="1">
        <v>45752</v>
      </c>
      <c r="C272">
        <v>2630</v>
      </c>
      <c r="D272">
        <v>58</v>
      </c>
      <c r="E272" t="s">
        <v>84</v>
      </c>
      <c r="F272" t="s">
        <v>9</v>
      </c>
      <c r="G272" t="s">
        <v>10</v>
      </c>
      <c r="H272">
        <v>4</v>
      </c>
    </row>
    <row r="273" spans="1:8">
      <c r="A273">
        <v>10274</v>
      </c>
      <c r="B273" s="1">
        <v>45762</v>
      </c>
      <c r="C273">
        <v>1477.75</v>
      </c>
      <c r="D273">
        <v>51</v>
      </c>
      <c r="E273" t="s">
        <v>36</v>
      </c>
      <c r="F273" t="s">
        <v>9</v>
      </c>
      <c r="G273" t="s">
        <v>19</v>
      </c>
      <c r="H273">
        <v>4</v>
      </c>
    </row>
    <row r="274" spans="1:8">
      <c r="A274">
        <v>10275</v>
      </c>
      <c r="B274" s="1">
        <v>45757</v>
      </c>
      <c r="C274">
        <v>17155.75</v>
      </c>
      <c r="D274">
        <v>2</v>
      </c>
      <c r="E274" t="s">
        <v>46</v>
      </c>
      <c r="F274" t="s">
        <v>18</v>
      </c>
      <c r="G274" t="s">
        <v>10</v>
      </c>
      <c r="H274">
        <v>4</v>
      </c>
    </row>
    <row r="275" spans="1:8">
      <c r="A275">
        <v>10276</v>
      </c>
      <c r="B275" s="1">
        <v>45753</v>
      </c>
      <c r="C275">
        <v>1497.5</v>
      </c>
      <c r="D275">
        <v>71</v>
      </c>
      <c r="E275" t="s">
        <v>39</v>
      </c>
      <c r="F275" t="s">
        <v>9</v>
      </c>
      <c r="G275" t="s">
        <v>16</v>
      </c>
      <c r="H275">
        <v>4</v>
      </c>
    </row>
    <row r="276" spans="1:8">
      <c r="A276">
        <v>10277</v>
      </c>
      <c r="B276" s="1">
        <v>45771</v>
      </c>
      <c r="C276">
        <v>12243.25</v>
      </c>
      <c r="D276">
        <v>28</v>
      </c>
      <c r="E276" t="s">
        <v>79</v>
      </c>
      <c r="F276" t="s">
        <v>18</v>
      </c>
      <c r="G276" t="s">
        <v>12</v>
      </c>
      <c r="H276">
        <v>4</v>
      </c>
    </row>
    <row r="277" spans="1:8">
      <c r="A277">
        <v>10278</v>
      </c>
      <c r="B277" s="1">
        <v>45764</v>
      </c>
      <c r="C277">
        <v>11129.5</v>
      </c>
      <c r="D277">
        <v>9</v>
      </c>
      <c r="E277" t="s">
        <v>56</v>
      </c>
      <c r="F277" t="s">
        <v>18</v>
      </c>
      <c r="G277" t="s">
        <v>57</v>
      </c>
      <c r="H277">
        <v>4</v>
      </c>
    </row>
    <row r="278" spans="1:8">
      <c r="A278">
        <v>10279</v>
      </c>
      <c r="B278" s="1">
        <v>45776</v>
      </c>
      <c r="C278">
        <v>1133.5</v>
      </c>
      <c r="D278">
        <v>55</v>
      </c>
      <c r="E278" t="s">
        <v>63</v>
      </c>
      <c r="F278" t="s">
        <v>9</v>
      </c>
      <c r="G278" t="s">
        <v>19</v>
      </c>
      <c r="H278">
        <v>4</v>
      </c>
    </row>
    <row r="279" spans="1:8">
      <c r="A279">
        <v>10280</v>
      </c>
      <c r="B279" s="1">
        <v>45767</v>
      </c>
      <c r="C279">
        <v>1462</v>
      </c>
      <c r="D279">
        <v>51</v>
      </c>
      <c r="E279" t="s">
        <v>36</v>
      </c>
      <c r="F279" t="s">
        <v>9</v>
      </c>
      <c r="G279" t="s">
        <v>19</v>
      </c>
      <c r="H279">
        <v>4</v>
      </c>
    </row>
    <row r="280" spans="1:8">
      <c r="A280">
        <v>10281</v>
      </c>
      <c r="B280" s="1">
        <v>45802</v>
      </c>
      <c r="C280">
        <v>1223.25</v>
      </c>
      <c r="D280">
        <v>47</v>
      </c>
      <c r="E280" t="s">
        <v>68</v>
      </c>
      <c r="F280" t="s">
        <v>9</v>
      </c>
      <c r="G280" t="s">
        <v>19</v>
      </c>
      <c r="H280">
        <v>5</v>
      </c>
    </row>
    <row r="281" spans="1:8">
      <c r="A281">
        <v>10282</v>
      </c>
      <c r="B281" s="1">
        <v>45787</v>
      </c>
      <c r="C281">
        <v>1074.5</v>
      </c>
      <c r="D281">
        <v>71</v>
      </c>
      <c r="E281" t="s">
        <v>39</v>
      </c>
      <c r="F281" t="s">
        <v>9</v>
      </c>
      <c r="G281" t="s">
        <v>16</v>
      </c>
      <c r="H281">
        <v>5</v>
      </c>
    </row>
    <row r="282" spans="1:8">
      <c r="A282">
        <v>10283</v>
      </c>
      <c r="B282" s="1">
        <v>45800</v>
      </c>
      <c r="C282">
        <v>5269.75</v>
      </c>
      <c r="D282">
        <v>1</v>
      </c>
      <c r="E282" t="s">
        <v>54</v>
      </c>
      <c r="F282" t="s">
        <v>18</v>
      </c>
      <c r="G282" t="s">
        <v>19</v>
      </c>
      <c r="H282">
        <v>5</v>
      </c>
    </row>
    <row r="283" spans="1:8">
      <c r="A283">
        <v>10284</v>
      </c>
      <c r="B283" s="1">
        <v>45801</v>
      </c>
      <c r="C283">
        <v>2415.25</v>
      </c>
      <c r="D283">
        <v>70</v>
      </c>
      <c r="E283" t="s">
        <v>87</v>
      </c>
      <c r="F283" t="s">
        <v>9</v>
      </c>
      <c r="G283" t="s">
        <v>12</v>
      </c>
      <c r="H283">
        <v>5</v>
      </c>
    </row>
    <row r="284" spans="1:8">
      <c r="A284">
        <v>10285</v>
      </c>
      <c r="B284" s="1">
        <v>45783</v>
      </c>
      <c r="C284">
        <v>370.25</v>
      </c>
      <c r="D284">
        <v>46</v>
      </c>
      <c r="E284" t="s">
        <v>15</v>
      </c>
      <c r="F284" t="s">
        <v>9</v>
      </c>
      <c r="G284" t="s">
        <v>16</v>
      </c>
      <c r="H284">
        <v>5</v>
      </c>
    </row>
    <row r="285" spans="1:8">
      <c r="A285">
        <v>10286</v>
      </c>
      <c r="B285" s="1">
        <v>45794</v>
      </c>
      <c r="C285">
        <v>2774.25</v>
      </c>
      <c r="D285">
        <v>37</v>
      </c>
      <c r="E285" t="s">
        <v>14</v>
      </c>
      <c r="F285" t="s">
        <v>9</v>
      </c>
      <c r="G285" t="s">
        <v>12</v>
      </c>
      <c r="H285">
        <v>5</v>
      </c>
    </row>
    <row r="286" spans="1:8">
      <c r="A286">
        <v>10287</v>
      </c>
      <c r="B286" s="1">
        <v>45792</v>
      </c>
      <c r="C286">
        <v>1860</v>
      </c>
      <c r="D286">
        <v>24</v>
      </c>
      <c r="E286" t="s">
        <v>72</v>
      </c>
      <c r="F286" t="s">
        <v>18</v>
      </c>
      <c r="G286" t="s">
        <v>12</v>
      </c>
      <c r="H286">
        <v>5</v>
      </c>
    </row>
    <row r="287" spans="1:8">
      <c r="A287">
        <v>10288</v>
      </c>
      <c r="B287" s="1">
        <v>45792</v>
      </c>
      <c r="C287">
        <v>15651</v>
      </c>
      <c r="D287">
        <v>20</v>
      </c>
      <c r="E287" t="s">
        <v>30</v>
      </c>
      <c r="F287" t="s">
        <v>18</v>
      </c>
      <c r="G287" t="s">
        <v>10</v>
      </c>
      <c r="H287">
        <v>5</v>
      </c>
    </row>
    <row r="288" spans="1:8">
      <c r="A288">
        <v>10289</v>
      </c>
      <c r="B288" s="1">
        <v>45808</v>
      </c>
      <c r="C288">
        <v>1406.75</v>
      </c>
      <c r="D288">
        <v>36</v>
      </c>
      <c r="E288" t="s">
        <v>83</v>
      </c>
      <c r="F288" t="s">
        <v>9</v>
      </c>
      <c r="G288" t="s">
        <v>16</v>
      </c>
      <c r="H288">
        <v>5</v>
      </c>
    </row>
    <row r="289" spans="1:8">
      <c r="A289">
        <v>10290</v>
      </c>
      <c r="B289" s="1">
        <v>45781</v>
      </c>
      <c r="C289">
        <v>511.25</v>
      </c>
      <c r="D289">
        <v>51</v>
      </c>
      <c r="E289" t="s">
        <v>36</v>
      </c>
      <c r="F289" t="s">
        <v>9</v>
      </c>
      <c r="G289" t="s">
        <v>19</v>
      </c>
      <c r="H289">
        <v>5</v>
      </c>
    </row>
    <row r="290" spans="1:8">
      <c r="A290">
        <v>10291</v>
      </c>
      <c r="B290" s="1">
        <v>45791</v>
      </c>
      <c r="C290">
        <v>744</v>
      </c>
      <c r="D290">
        <v>50</v>
      </c>
      <c r="E290" t="s">
        <v>22</v>
      </c>
      <c r="F290" t="s">
        <v>9</v>
      </c>
      <c r="G290" t="s">
        <v>16</v>
      </c>
      <c r="H290">
        <v>5</v>
      </c>
    </row>
    <row r="291" spans="1:8">
      <c r="A291">
        <v>10292</v>
      </c>
      <c r="B291" s="1">
        <v>45796</v>
      </c>
      <c r="C291">
        <v>2059</v>
      </c>
      <c r="D291">
        <v>67</v>
      </c>
      <c r="E291" t="s">
        <v>35</v>
      </c>
      <c r="F291" t="s">
        <v>9</v>
      </c>
      <c r="G291" t="s">
        <v>10</v>
      </c>
      <c r="H291">
        <v>5</v>
      </c>
    </row>
    <row r="292" spans="1:8">
      <c r="A292">
        <v>10293</v>
      </c>
      <c r="B292" s="1">
        <v>45786</v>
      </c>
      <c r="C292">
        <v>2517.75</v>
      </c>
      <c r="D292">
        <v>66</v>
      </c>
      <c r="E292" t="s">
        <v>59</v>
      </c>
      <c r="F292" t="s">
        <v>9</v>
      </c>
      <c r="G292" t="s">
        <v>19</v>
      </c>
      <c r="H292">
        <v>5</v>
      </c>
    </row>
    <row r="293" spans="1:8">
      <c r="A293">
        <v>10294</v>
      </c>
      <c r="B293" s="1">
        <v>45807</v>
      </c>
      <c r="C293">
        <v>1646.75</v>
      </c>
      <c r="D293">
        <v>59</v>
      </c>
      <c r="E293" t="s">
        <v>86</v>
      </c>
      <c r="F293" t="s">
        <v>9</v>
      </c>
      <c r="G293" t="s">
        <v>16</v>
      </c>
      <c r="H293">
        <v>5</v>
      </c>
    </row>
    <row r="294" spans="1:8">
      <c r="A294">
        <v>10295</v>
      </c>
      <c r="B294" s="1">
        <v>45784</v>
      </c>
      <c r="C294">
        <v>1938.25</v>
      </c>
      <c r="D294">
        <v>15</v>
      </c>
      <c r="E294" t="s">
        <v>51</v>
      </c>
      <c r="F294" t="s">
        <v>18</v>
      </c>
      <c r="G294" t="s">
        <v>10</v>
      </c>
      <c r="H294">
        <v>5</v>
      </c>
    </row>
    <row r="295" spans="1:8">
      <c r="A295">
        <v>10296</v>
      </c>
      <c r="B295" s="1">
        <v>45781</v>
      </c>
      <c r="C295">
        <v>8504.75</v>
      </c>
      <c r="D295">
        <v>22</v>
      </c>
      <c r="E295" t="s">
        <v>60</v>
      </c>
      <c r="F295" t="s">
        <v>18</v>
      </c>
      <c r="G295" t="s">
        <v>10</v>
      </c>
      <c r="H295">
        <v>5</v>
      </c>
    </row>
    <row r="296" spans="1:8">
      <c r="A296">
        <v>10297</v>
      </c>
      <c r="B296" s="1">
        <v>45808</v>
      </c>
      <c r="C296">
        <v>266.5</v>
      </c>
      <c r="D296">
        <v>75</v>
      </c>
      <c r="E296" t="s">
        <v>85</v>
      </c>
      <c r="F296" t="s">
        <v>9</v>
      </c>
      <c r="G296" t="s">
        <v>19</v>
      </c>
      <c r="H296">
        <v>5</v>
      </c>
    </row>
    <row r="297" spans="1:8">
      <c r="A297">
        <v>10298</v>
      </c>
      <c r="B297" s="1">
        <v>45794</v>
      </c>
      <c r="C297">
        <v>10678</v>
      </c>
      <c r="D297">
        <v>23</v>
      </c>
      <c r="E297" t="s">
        <v>88</v>
      </c>
      <c r="F297" t="s">
        <v>18</v>
      </c>
      <c r="G297" t="s">
        <v>10</v>
      </c>
      <c r="H297">
        <v>5</v>
      </c>
    </row>
    <row r="298" spans="1:8">
      <c r="A298">
        <v>10299</v>
      </c>
      <c r="B298" s="1">
        <v>45779</v>
      </c>
      <c r="C298">
        <v>9117.25</v>
      </c>
      <c r="D298">
        <v>8</v>
      </c>
      <c r="E298" t="s">
        <v>41</v>
      </c>
      <c r="F298" t="s">
        <v>18</v>
      </c>
      <c r="G298" t="s">
        <v>16</v>
      </c>
      <c r="H298">
        <v>5</v>
      </c>
    </row>
    <row r="299" spans="1:8">
      <c r="A299">
        <v>10300</v>
      </c>
      <c r="B299" s="1">
        <v>45799</v>
      </c>
      <c r="C299">
        <v>1538.5</v>
      </c>
      <c r="D299">
        <v>60</v>
      </c>
      <c r="E299" t="s">
        <v>89</v>
      </c>
      <c r="F299" t="s">
        <v>9</v>
      </c>
      <c r="G299" t="s">
        <v>10</v>
      </c>
      <c r="H299">
        <v>5</v>
      </c>
    </row>
    <row r="300" spans="1:8">
      <c r="A300">
        <v>10301</v>
      </c>
      <c r="B300" s="1">
        <v>45788</v>
      </c>
      <c r="C300">
        <v>8344.5</v>
      </c>
      <c r="D300">
        <v>18</v>
      </c>
      <c r="E300" t="s">
        <v>71</v>
      </c>
      <c r="F300" t="s">
        <v>18</v>
      </c>
      <c r="G300" t="s">
        <v>10</v>
      </c>
      <c r="H300">
        <v>5</v>
      </c>
    </row>
    <row r="301" spans="1:8">
      <c r="A301">
        <v>10302</v>
      </c>
      <c r="B301" s="1">
        <v>45781</v>
      </c>
      <c r="C301">
        <v>445</v>
      </c>
      <c r="D301">
        <v>76</v>
      </c>
      <c r="E301" t="s">
        <v>13</v>
      </c>
      <c r="F301" t="s">
        <v>9</v>
      </c>
      <c r="G301" t="s">
        <v>12</v>
      </c>
      <c r="H301">
        <v>5</v>
      </c>
    </row>
    <row r="302" spans="1:8">
      <c r="A302">
        <v>10303</v>
      </c>
      <c r="B302" s="1">
        <v>45782</v>
      </c>
      <c r="C302">
        <v>13645.5</v>
      </c>
      <c r="D302">
        <v>3</v>
      </c>
      <c r="E302" t="s">
        <v>27</v>
      </c>
      <c r="F302" t="s">
        <v>18</v>
      </c>
      <c r="G302" t="s">
        <v>12</v>
      </c>
      <c r="H302">
        <v>5</v>
      </c>
    </row>
    <row r="303" spans="1:8">
      <c r="A303">
        <v>10304</v>
      </c>
      <c r="B303" s="1">
        <v>45780</v>
      </c>
      <c r="C303">
        <v>1322.75</v>
      </c>
      <c r="D303">
        <v>45</v>
      </c>
      <c r="E303" t="s">
        <v>62</v>
      </c>
      <c r="F303" t="s">
        <v>9</v>
      </c>
      <c r="G303" t="s">
        <v>10</v>
      </c>
      <c r="H303">
        <v>5</v>
      </c>
    </row>
    <row r="304" spans="1:8">
      <c r="A304">
        <v>10305</v>
      </c>
      <c r="B304" s="1">
        <v>45780</v>
      </c>
      <c r="C304">
        <v>12397.25</v>
      </c>
      <c r="D304">
        <v>21</v>
      </c>
      <c r="E304" t="s">
        <v>37</v>
      </c>
      <c r="F304" t="s">
        <v>18</v>
      </c>
      <c r="G304" t="s">
        <v>16</v>
      </c>
      <c r="H304">
        <v>5</v>
      </c>
    </row>
    <row r="305" spans="1:8">
      <c r="A305">
        <v>10306</v>
      </c>
      <c r="B305" s="1">
        <v>45791</v>
      </c>
      <c r="C305">
        <v>17436.5</v>
      </c>
      <c r="D305">
        <v>1</v>
      </c>
      <c r="E305" t="s">
        <v>54</v>
      </c>
      <c r="F305" t="s">
        <v>18</v>
      </c>
      <c r="G305" t="s">
        <v>19</v>
      </c>
      <c r="H305">
        <v>5</v>
      </c>
    </row>
    <row r="306" spans="1:8">
      <c r="A306">
        <v>10307</v>
      </c>
      <c r="B306" s="1">
        <v>45798</v>
      </c>
      <c r="C306">
        <v>566.5</v>
      </c>
      <c r="D306">
        <v>68</v>
      </c>
      <c r="E306" t="s">
        <v>81</v>
      </c>
      <c r="F306" t="s">
        <v>9</v>
      </c>
      <c r="G306" t="s">
        <v>57</v>
      </c>
      <c r="H306">
        <v>5</v>
      </c>
    </row>
    <row r="307" spans="1:8">
      <c r="A307">
        <v>10308</v>
      </c>
      <c r="B307" s="1">
        <v>45804</v>
      </c>
      <c r="C307">
        <v>616.75</v>
      </c>
      <c r="D307">
        <v>66</v>
      </c>
      <c r="E307" t="s">
        <v>59</v>
      </c>
      <c r="F307" t="s">
        <v>9</v>
      </c>
      <c r="G307" t="s">
        <v>19</v>
      </c>
      <c r="H307">
        <v>5</v>
      </c>
    </row>
    <row r="308" spans="1:8">
      <c r="A308">
        <v>10309</v>
      </c>
      <c r="B308" s="1">
        <v>45792</v>
      </c>
      <c r="C308">
        <v>1633</v>
      </c>
      <c r="D308">
        <v>66</v>
      </c>
      <c r="E308" t="s">
        <v>59</v>
      </c>
      <c r="F308" t="s">
        <v>9</v>
      </c>
      <c r="G308" t="s">
        <v>19</v>
      </c>
      <c r="H308">
        <v>5</v>
      </c>
    </row>
    <row r="309" spans="1:8">
      <c r="A309">
        <v>10310</v>
      </c>
      <c r="B309" s="1">
        <v>45780</v>
      </c>
      <c r="C309">
        <v>1409.5</v>
      </c>
      <c r="D309">
        <v>64</v>
      </c>
      <c r="E309" t="s">
        <v>45</v>
      </c>
      <c r="F309" t="s">
        <v>9</v>
      </c>
      <c r="G309" t="s">
        <v>12</v>
      </c>
      <c r="H309">
        <v>5</v>
      </c>
    </row>
    <row r="310" spans="1:8">
      <c r="A310">
        <v>10311</v>
      </c>
      <c r="B310" s="1">
        <v>45793</v>
      </c>
      <c r="C310">
        <v>419.25</v>
      </c>
      <c r="D310">
        <v>56</v>
      </c>
      <c r="E310" t="s">
        <v>43</v>
      </c>
      <c r="F310" t="s">
        <v>9</v>
      </c>
      <c r="G310" t="s">
        <v>10</v>
      </c>
      <c r="H310">
        <v>5</v>
      </c>
    </row>
    <row r="311" spans="1:8">
      <c r="A311">
        <v>10312</v>
      </c>
      <c r="B311" s="1">
        <v>45796</v>
      </c>
      <c r="C311">
        <v>2933.5</v>
      </c>
      <c r="D311">
        <v>2</v>
      </c>
      <c r="E311" t="s">
        <v>46</v>
      </c>
      <c r="F311" t="s">
        <v>18</v>
      </c>
      <c r="G311" t="s">
        <v>10</v>
      </c>
      <c r="H311">
        <v>5</v>
      </c>
    </row>
    <row r="312" spans="1:8">
      <c r="A312">
        <v>10313</v>
      </c>
      <c r="B312" s="1">
        <v>45780</v>
      </c>
      <c r="C312">
        <v>725.75</v>
      </c>
      <c r="D312">
        <v>55</v>
      </c>
      <c r="E312" t="s">
        <v>63</v>
      </c>
      <c r="F312" t="s">
        <v>9</v>
      </c>
      <c r="G312" t="s">
        <v>19</v>
      </c>
      <c r="H312">
        <v>5</v>
      </c>
    </row>
    <row r="313" spans="1:8">
      <c r="A313">
        <v>10314</v>
      </c>
      <c r="B313" s="1">
        <v>45788</v>
      </c>
      <c r="C313">
        <v>17889.5</v>
      </c>
      <c r="D313">
        <v>13</v>
      </c>
      <c r="E313" t="s">
        <v>50</v>
      </c>
      <c r="F313" t="s">
        <v>18</v>
      </c>
      <c r="G313" t="s">
        <v>12</v>
      </c>
      <c r="H313">
        <v>5</v>
      </c>
    </row>
    <row r="314" spans="1:8">
      <c r="A314">
        <v>10315</v>
      </c>
      <c r="B314" s="1">
        <v>45784</v>
      </c>
      <c r="C314">
        <v>8365.5</v>
      </c>
      <c r="D314">
        <v>23</v>
      </c>
      <c r="E314" t="s">
        <v>88</v>
      </c>
      <c r="F314" t="s">
        <v>18</v>
      </c>
      <c r="G314" t="s">
        <v>10</v>
      </c>
      <c r="H314">
        <v>5</v>
      </c>
    </row>
    <row r="315" spans="1:8">
      <c r="A315">
        <v>10316</v>
      </c>
      <c r="B315" s="1">
        <v>45789</v>
      </c>
      <c r="C315">
        <v>475.75</v>
      </c>
      <c r="D315">
        <v>74</v>
      </c>
      <c r="E315" t="s">
        <v>32</v>
      </c>
      <c r="F315" t="s">
        <v>9</v>
      </c>
      <c r="G315" t="s">
        <v>16</v>
      </c>
      <c r="H315">
        <v>5</v>
      </c>
    </row>
    <row r="316" spans="1:8">
      <c r="A316">
        <v>10317</v>
      </c>
      <c r="B316" s="1">
        <v>45798</v>
      </c>
      <c r="C316">
        <v>3576.5</v>
      </c>
      <c r="D316">
        <v>24</v>
      </c>
      <c r="E316" t="s">
        <v>72</v>
      </c>
      <c r="F316" t="s">
        <v>18</v>
      </c>
      <c r="G316" t="s">
        <v>12</v>
      </c>
      <c r="H316">
        <v>5</v>
      </c>
    </row>
    <row r="317" spans="1:8">
      <c r="A317">
        <v>10318</v>
      </c>
      <c r="B317" s="1">
        <v>45778</v>
      </c>
      <c r="C317">
        <v>3107.5</v>
      </c>
      <c r="D317">
        <v>14</v>
      </c>
      <c r="E317" t="s">
        <v>42</v>
      </c>
      <c r="F317" t="s">
        <v>18</v>
      </c>
      <c r="G317" t="s">
        <v>10</v>
      </c>
      <c r="H317">
        <v>5</v>
      </c>
    </row>
    <row r="318" spans="1:8">
      <c r="A318">
        <v>10319</v>
      </c>
      <c r="B318" s="1">
        <v>45806</v>
      </c>
      <c r="C318">
        <v>13266.25</v>
      </c>
      <c r="D318">
        <v>28</v>
      </c>
      <c r="E318" t="s">
        <v>79</v>
      </c>
      <c r="F318" t="s">
        <v>18</v>
      </c>
      <c r="G318" t="s">
        <v>12</v>
      </c>
      <c r="H318">
        <v>5</v>
      </c>
    </row>
    <row r="319" spans="1:8">
      <c r="A319">
        <v>10320</v>
      </c>
      <c r="B319" s="1">
        <v>45789</v>
      </c>
      <c r="C319">
        <v>1995.5</v>
      </c>
      <c r="D319">
        <v>55</v>
      </c>
      <c r="E319" t="s">
        <v>63</v>
      </c>
      <c r="F319" t="s">
        <v>9</v>
      </c>
      <c r="G319" t="s">
        <v>19</v>
      </c>
      <c r="H319">
        <v>5</v>
      </c>
    </row>
    <row r="320" spans="1:8">
      <c r="A320">
        <v>10321</v>
      </c>
      <c r="B320" s="1">
        <v>45797</v>
      </c>
      <c r="C320">
        <v>2743.25</v>
      </c>
      <c r="D320">
        <v>51</v>
      </c>
      <c r="E320" t="s">
        <v>36</v>
      </c>
      <c r="F320" t="s">
        <v>9</v>
      </c>
      <c r="G320" t="s">
        <v>19</v>
      </c>
      <c r="H320">
        <v>5</v>
      </c>
    </row>
    <row r="321" spans="1:8">
      <c r="A321">
        <v>10322</v>
      </c>
      <c r="B321" s="1">
        <v>45778</v>
      </c>
      <c r="C321">
        <v>13970</v>
      </c>
      <c r="D321">
        <v>17</v>
      </c>
      <c r="E321" t="s">
        <v>73</v>
      </c>
      <c r="F321" t="s">
        <v>18</v>
      </c>
      <c r="G321" t="s">
        <v>16</v>
      </c>
      <c r="H321">
        <v>5</v>
      </c>
    </row>
    <row r="322" spans="1:8">
      <c r="A322">
        <v>10323</v>
      </c>
      <c r="B322" s="1">
        <v>45786</v>
      </c>
      <c r="C322">
        <v>1124.25</v>
      </c>
      <c r="D322">
        <v>54</v>
      </c>
      <c r="E322" t="s">
        <v>53</v>
      </c>
      <c r="F322" t="s">
        <v>9</v>
      </c>
      <c r="G322" t="s">
        <v>12</v>
      </c>
      <c r="H322">
        <v>5</v>
      </c>
    </row>
    <row r="323" spans="1:8">
      <c r="A323">
        <v>10324</v>
      </c>
      <c r="B323" s="1">
        <v>45793</v>
      </c>
      <c r="C323">
        <v>1299.5</v>
      </c>
      <c r="D323">
        <v>68</v>
      </c>
      <c r="E323" t="s">
        <v>81</v>
      </c>
      <c r="F323" t="s">
        <v>9</v>
      </c>
      <c r="G323" t="s">
        <v>57</v>
      </c>
      <c r="H323">
        <v>5</v>
      </c>
    </row>
    <row r="324" spans="1:8">
      <c r="A324">
        <v>10325</v>
      </c>
      <c r="B324" s="1">
        <v>45791</v>
      </c>
      <c r="C324">
        <v>12360</v>
      </c>
      <c r="D324">
        <v>14</v>
      </c>
      <c r="E324" t="s">
        <v>42</v>
      </c>
      <c r="F324" t="s">
        <v>18</v>
      </c>
      <c r="G324" t="s">
        <v>10</v>
      </c>
      <c r="H324">
        <v>5</v>
      </c>
    </row>
    <row r="325" spans="1:8">
      <c r="A325">
        <v>10326</v>
      </c>
      <c r="B325" s="1">
        <v>45800</v>
      </c>
      <c r="C325">
        <v>14804.75</v>
      </c>
      <c r="D325">
        <v>30</v>
      </c>
      <c r="E325" t="s">
        <v>70</v>
      </c>
      <c r="F325" t="s">
        <v>18</v>
      </c>
      <c r="G325" t="s">
        <v>10</v>
      </c>
      <c r="H325">
        <v>5</v>
      </c>
    </row>
    <row r="326" spans="1:8">
      <c r="A326">
        <v>10327</v>
      </c>
      <c r="B326" s="1">
        <v>45797</v>
      </c>
      <c r="C326">
        <v>6705.25</v>
      </c>
      <c r="D326">
        <v>10</v>
      </c>
      <c r="E326" t="s">
        <v>64</v>
      </c>
      <c r="F326" t="s">
        <v>18</v>
      </c>
      <c r="G326" t="s">
        <v>19</v>
      </c>
      <c r="H326">
        <v>5</v>
      </c>
    </row>
    <row r="327" spans="1:8">
      <c r="A327">
        <v>10328</v>
      </c>
      <c r="B327" s="1">
        <v>45778</v>
      </c>
      <c r="C327">
        <v>4929.5</v>
      </c>
      <c r="D327">
        <v>10</v>
      </c>
      <c r="E327" t="s">
        <v>64</v>
      </c>
      <c r="F327" t="s">
        <v>18</v>
      </c>
      <c r="G327" t="s">
        <v>19</v>
      </c>
      <c r="H327">
        <v>5</v>
      </c>
    </row>
    <row r="328" spans="1:8">
      <c r="A328">
        <v>10329</v>
      </c>
      <c r="B328" s="1">
        <v>45794</v>
      </c>
      <c r="C328">
        <v>17313.5</v>
      </c>
      <c r="D328">
        <v>9</v>
      </c>
      <c r="E328" t="s">
        <v>56</v>
      </c>
      <c r="F328" t="s">
        <v>18</v>
      </c>
      <c r="G328" t="s">
        <v>57</v>
      </c>
      <c r="H328">
        <v>5</v>
      </c>
    </row>
    <row r="329" spans="1:8">
      <c r="A329">
        <v>10330</v>
      </c>
      <c r="B329" s="1">
        <v>45794</v>
      </c>
      <c r="C329">
        <v>7556.25</v>
      </c>
      <c r="D329">
        <v>16</v>
      </c>
      <c r="E329" t="s">
        <v>21</v>
      </c>
      <c r="F329" t="s">
        <v>18</v>
      </c>
      <c r="G329" t="s">
        <v>10</v>
      </c>
      <c r="H329">
        <v>5</v>
      </c>
    </row>
    <row r="330" spans="1:8">
      <c r="A330">
        <v>10331</v>
      </c>
      <c r="B330" s="1">
        <v>45790</v>
      </c>
      <c r="C330">
        <v>2640.75</v>
      </c>
      <c r="D330">
        <v>59</v>
      </c>
      <c r="E330" t="s">
        <v>86</v>
      </c>
      <c r="F330" t="s">
        <v>9</v>
      </c>
      <c r="G330" t="s">
        <v>16</v>
      </c>
      <c r="H330">
        <v>5</v>
      </c>
    </row>
    <row r="331" spans="1:8">
      <c r="A331">
        <v>10332</v>
      </c>
      <c r="B331" s="1">
        <v>45793</v>
      </c>
      <c r="C331">
        <v>6947.25</v>
      </c>
      <c r="D331">
        <v>14</v>
      </c>
      <c r="E331" t="s">
        <v>42</v>
      </c>
      <c r="F331" t="s">
        <v>18</v>
      </c>
      <c r="G331" t="s">
        <v>10</v>
      </c>
      <c r="H331">
        <v>5</v>
      </c>
    </row>
    <row r="332" spans="1:8">
      <c r="A332">
        <v>10333</v>
      </c>
      <c r="B332" s="1">
        <v>45801</v>
      </c>
      <c r="C332">
        <v>10571</v>
      </c>
      <c r="D332">
        <v>24</v>
      </c>
      <c r="E332" t="s">
        <v>72</v>
      </c>
      <c r="F332" t="s">
        <v>18</v>
      </c>
      <c r="G332" t="s">
        <v>12</v>
      </c>
      <c r="H332">
        <v>5</v>
      </c>
    </row>
    <row r="333" spans="1:8">
      <c r="A333">
        <v>10334</v>
      </c>
      <c r="B333" s="1">
        <v>45798</v>
      </c>
      <c r="C333">
        <v>2196.25</v>
      </c>
      <c r="D333">
        <v>72</v>
      </c>
      <c r="E333" t="s">
        <v>76</v>
      </c>
      <c r="F333" t="s">
        <v>9</v>
      </c>
      <c r="G333" t="s">
        <v>12</v>
      </c>
      <c r="H333">
        <v>5</v>
      </c>
    </row>
    <row r="334" spans="1:8">
      <c r="A334">
        <v>10335</v>
      </c>
      <c r="B334" s="1">
        <v>45796</v>
      </c>
      <c r="C334">
        <v>7276.75</v>
      </c>
      <c r="D334">
        <v>20</v>
      </c>
      <c r="E334" t="s">
        <v>30</v>
      </c>
      <c r="F334" t="s">
        <v>18</v>
      </c>
      <c r="G334" t="s">
        <v>10</v>
      </c>
      <c r="H334">
        <v>5</v>
      </c>
    </row>
    <row r="335" spans="1:8">
      <c r="A335">
        <v>10336</v>
      </c>
      <c r="B335" s="1">
        <v>45795</v>
      </c>
      <c r="C335">
        <v>2730.5</v>
      </c>
      <c r="D335">
        <v>53</v>
      </c>
      <c r="E335" t="s">
        <v>82</v>
      </c>
      <c r="F335" t="s">
        <v>9</v>
      </c>
      <c r="G335" t="s">
        <v>16</v>
      </c>
      <c r="H335">
        <v>5</v>
      </c>
    </row>
    <row r="336" spans="1:8">
      <c r="A336">
        <v>10337</v>
      </c>
      <c r="B336" s="1">
        <v>45797</v>
      </c>
      <c r="C336">
        <v>8123</v>
      </c>
      <c r="D336">
        <v>27</v>
      </c>
      <c r="E336" t="s">
        <v>34</v>
      </c>
      <c r="F336" t="s">
        <v>18</v>
      </c>
      <c r="G336" t="s">
        <v>19</v>
      </c>
      <c r="H336">
        <v>5</v>
      </c>
    </row>
    <row r="337" spans="1:8">
      <c r="A337">
        <v>10338</v>
      </c>
      <c r="B337" s="1">
        <v>45783</v>
      </c>
      <c r="C337">
        <v>1118.75</v>
      </c>
      <c r="D337">
        <v>66</v>
      </c>
      <c r="E337" t="s">
        <v>59</v>
      </c>
      <c r="F337" t="s">
        <v>9</v>
      </c>
      <c r="G337" t="s">
        <v>19</v>
      </c>
      <c r="H337">
        <v>5</v>
      </c>
    </row>
    <row r="338" spans="1:8">
      <c r="A338">
        <v>10339</v>
      </c>
      <c r="B338" s="1">
        <v>45795</v>
      </c>
      <c r="C338">
        <v>1951</v>
      </c>
      <c r="D338">
        <v>62</v>
      </c>
      <c r="E338" t="s">
        <v>28</v>
      </c>
      <c r="F338" t="s">
        <v>9</v>
      </c>
      <c r="G338" t="s">
        <v>10</v>
      </c>
      <c r="H338">
        <v>5</v>
      </c>
    </row>
    <row r="339" spans="1:8">
      <c r="A339">
        <v>10340</v>
      </c>
      <c r="B339" s="1">
        <v>45789</v>
      </c>
      <c r="C339">
        <v>877.5</v>
      </c>
      <c r="D339">
        <v>60</v>
      </c>
      <c r="E339" t="s">
        <v>89</v>
      </c>
      <c r="F339" t="s">
        <v>9</v>
      </c>
      <c r="G339" t="s">
        <v>10</v>
      </c>
      <c r="H339">
        <v>5</v>
      </c>
    </row>
    <row r="340" spans="1:8">
      <c r="A340">
        <v>10341</v>
      </c>
      <c r="B340" s="1">
        <v>45796</v>
      </c>
      <c r="C340">
        <v>1560.5</v>
      </c>
      <c r="D340">
        <v>38</v>
      </c>
      <c r="E340" t="s">
        <v>52</v>
      </c>
      <c r="F340" t="s">
        <v>9</v>
      </c>
      <c r="G340" t="s">
        <v>19</v>
      </c>
      <c r="H340">
        <v>5</v>
      </c>
    </row>
    <row r="341" spans="1:8">
      <c r="A341">
        <v>10342</v>
      </c>
      <c r="B341" s="1">
        <v>45792</v>
      </c>
      <c r="C341">
        <v>16322.75</v>
      </c>
      <c r="D341">
        <v>10</v>
      </c>
      <c r="E341" t="s">
        <v>64</v>
      </c>
      <c r="F341" t="s">
        <v>18</v>
      </c>
      <c r="G341" t="s">
        <v>19</v>
      </c>
      <c r="H341">
        <v>5</v>
      </c>
    </row>
    <row r="342" spans="1:8">
      <c r="A342">
        <v>10343</v>
      </c>
      <c r="B342" s="1">
        <v>45779</v>
      </c>
      <c r="C342">
        <v>802.25</v>
      </c>
      <c r="D342">
        <v>51</v>
      </c>
      <c r="E342" t="s">
        <v>36</v>
      </c>
      <c r="F342" t="s">
        <v>9</v>
      </c>
      <c r="G342" t="s">
        <v>19</v>
      </c>
      <c r="H342">
        <v>5</v>
      </c>
    </row>
    <row r="343" spans="1:8">
      <c r="A343">
        <v>10344</v>
      </c>
      <c r="B343" s="1">
        <v>45804</v>
      </c>
      <c r="C343">
        <v>15797</v>
      </c>
      <c r="D343">
        <v>15</v>
      </c>
      <c r="E343" t="s">
        <v>51</v>
      </c>
      <c r="F343" t="s">
        <v>18</v>
      </c>
      <c r="G343" t="s">
        <v>10</v>
      </c>
      <c r="H343">
        <v>5</v>
      </c>
    </row>
    <row r="344" spans="1:8">
      <c r="A344">
        <v>10345</v>
      </c>
      <c r="B344" s="1">
        <v>45778</v>
      </c>
      <c r="C344">
        <v>1272.75</v>
      </c>
      <c r="D344">
        <v>40</v>
      </c>
      <c r="E344" t="s">
        <v>58</v>
      </c>
      <c r="F344" t="s">
        <v>9</v>
      </c>
      <c r="G344" t="s">
        <v>19</v>
      </c>
      <c r="H344">
        <v>5</v>
      </c>
    </row>
    <row r="345" spans="1:8">
      <c r="A345">
        <v>10346</v>
      </c>
      <c r="B345" s="1">
        <v>45806</v>
      </c>
      <c r="C345">
        <v>532.25</v>
      </c>
      <c r="D345">
        <v>42</v>
      </c>
      <c r="E345" t="s">
        <v>8</v>
      </c>
      <c r="F345" t="s">
        <v>9</v>
      </c>
      <c r="G345" t="s">
        <v>10</v>
      </c>
      <c r="H345">
        <v>5</v>
      </c>
    </row>
    <row r="346" spans="1:8">
      <c r="A346">
        <v>10347</v>
      </c>
      <c r="B346" s="1">
        <v>45803</v>
      </c>
      <c r="C346">
        <v>888.75</v>
      </c>
      <c r="D346">
        <v>67</v>
      </c>
      <c r="E346" t="s">
        <v>35</v>
      </c>
      <c r="F346" t="s">
        <v>9</v>
      </c>
      <c r="G346" t="s">
        <v>10</v>
      </c>
      <c r="H346">
        <v>5</v>
      </c>
    </row>
    <row r="347" spans="1:8">
      <c r="A347">
        <v>10348</v>
      </c>
      <c r="B347" s="1">
        <v>45783</v>
      </c>
      <c r="C347">
        <v>17629.5</v>
      </c>
      <c r="D347">
        <v>24</v>
      </c>
      <c r="E347" t="s">
        <v>72</v>
      </c>
      <c r="F347" t="s">
        <v>18</v>
      </c>
      <c r="G347" t="s">
        <v>12</v>
      </c>
      <c r="H347">
        <v>5</v>
      </c>
    </row>
    <row r="348" spans="1:8">
      <c r="A348">
        <v>10349</v>
      </c>
      <c r="B348" s="1">
        <v>45803</v>
      </c>
      <c r="C348">
        <v>6226.5</v>
      </c>
      <c r="D348">
        <v>23</v>
      </c>
      <c r="E348" t="s">
        <v>88</v>
      </c>
      <c r="F348" t="s">
        <v>18</v>
      </c>
      <c r="G348" t="s">
        <v>10</v>
      </c>
      <c r="H348">
        <v>5</v>
      </c>
    </row>
    <row r="349" spans="1:8">
      <c r="A349">
        <v>10350</v>
      </c>
      <c r="B349" s="1">
        <v>45807</v>
      </c>
      <c r="C349">
        <v>2172.5</v>
      </c>
      <c r="D349">
        <v>38</v>
      </c>
      <c r="E349" t="s">
        <v>52</v>
      </c>
      <c r="F349" t="s">
        <v>9</v>
      </c>
      <c r="G349" t="s">
        <v>19</v>
      </c>
      <c r="H349">
        <v>5</v>
      </c>
    </row>
    <row r="350" spans="1:8">
      <c r="A350">
        <v>10351</v>
      </c>
      <c r="B350" s="1">
        <v>45804</v>
      </c>
      <c r="C350">
        <v>5820</v>
      </c>
      <c r="D350">
        <v>16</v>
      </c>
      <c r="E350" t="s">
        <v>21</v>
      </c>
      <c r="F350" t="s">
        <v>18</v>
      </c>
      <c r="G350" t="s">
        <v>10</v>
      </c>
      <c r="H350">
        <v>5</v>
      </c>
    </row>
    <row r="351" spans="1:8">
      <c r="A351">
        <v>10352</v>
      </c>
      <c r="B351" s="1">
        <v>45793</v>
      </c>
      <c r="C351">
        <v>15509.5</v>
      </c>
      <c r="D351">
        <v>18</v>
      </c>
      <c r="E351" t="s">
        <v>71</v>
      </c>
      <c r="F351" t="s">
        <v>18</v>
      </c>
      <c r="G351" t="s">
        <v>10</v>
      </c>
      <c r="H351">
        <v>5</v>
      </c>
    </row>
    <row r="352" spans="1:8">
      <c r="A352">
        <v>10353</v>
      </c>
      <c r="B352" s="1">
        <v>45785</v>
      </c>
      <c r="C352">
        <v>2485</v>
      </c>
      <c r="D352">
        <v>32</v>
      </c>
      <c r="E352" t="s">
        <v>65</v>
      </c>
      <c r="F352" t="s">
        <v>9</v>
      </c>
      <c r="G352" t="s">
        <v>12</v>
      </c>
      <c r="H352">
        <v>5</v>
      </c>
    </row>
    <row r="353" spans="1:8">
      <c r="A353">
        <v>10354</v>
      </c>
      <c r="B353" s="1">
        <v>45797</v>
      </c>
      <c r="C353">
        <v>450.75</v>
      </c>
      <c r="D353">
        <v>74</v>
      </c>
      <c r="E353" t="s">
        <v>32</v>
      </c>
      <c r="F353" t="s">
        <v>9</v>
      </c>
      <c r="G353" t="s">
        <v>16</v>
      </c>
      <c r="H353">
        <v>5</v>
      </c>
    </row>
    <row r="354" spans="1:8">
      <c r="A354">
        <v>10355</v>
      </c>
      <c r="B354" s="1">
        <v>45781</v>
      </c>
      <c r="C354">
        <v>757.25</v>
      </c>
      <c r="D354">
        <v>65</v>
      </c>
      <c r="E354" t="s">
        <v>69</v>
      </c>
      <c r="F354" t="s">
        <v>9</v>
      </c>
      <c r="G354" t="s">
        <v>19</v>
      </c>
      <c r="H354">
        <v>5</v>
      </c>
    </row>
    <row r="355" spans="1:8">
      <c r="A355">
        <v>10356</v>
      </c>
      <c r="B355" s="1">
        <v>45782</v>
      </c>
      <c r="C355">
        <v>1972</v>
      </c>
      <c r="D355">
        <v>49</v>
      </c>
      <c r="E355" t="s">
        <v>29</v>
      </c>
      <c r="F355" t="s">
        <v>9</v>
      </c>
      <c r="G355" t="s">
        <v>19</v>
      </c>
      <c r="H355">
        <v>5</v>
      </c>
    </row>
    <row r="356" spans="1:8">
      <c r="A356">
        <v>10357</v>
      </c>
      <c r="B356" s="1">
        <v>45785</v>
      </c>
      <c r="C356">
        <v>10746.75</v>
      </c>
      <c r="D356">
        <v>4</v>
      </c>
      <c r="E356" t="s">
        <v>26</v>
      </c>
      <c r="F356" t="s">
        <v>18</v>
      </c>
      <c r="G356" t="s">
        <v>16</v>
      </c>
      <c r="H356">
        <v>5</v>
      </c>
    </row>
    <row r="357" spans="1:8">
      <c r="A357">
        <v>10358</v>
      </c>
      <c r="B357" s="1">
        <v>45807</v>
      </c>
      <c r="C357">
        <v>1424.5</v>
      </c>
      <c r="D357">
        <v>56</v>
      </c>
      <c r="E357" t="s">
        <v>43</v>
      </c>
      <c r="F357" t="s">
        <v>9</v>
      </c>
      <c r="G357" t="s">
        <v>10</v>
      </c>
      <c r="H357">
        <v>5</v>
      </c>
    </row>
    <row r="358" spans="1:8">
      <c r="A358">
        <v>10359</v>
      </c>
      <c r="B358" s="1">
        <v>45794</v>
      </c>
      <c r="C358">
        <v>4637</v>
      </c>
      <c r="D358">
        <v>24</v>
      </c>
      <c r="E358" t="s">
        <v>72</v>
      </c>
      <c r="F358" t="s">
        <v>18</v>
      </c>
      <c r="G358" t="s">
        <v>12</v>
      </c>
      <c r="H358">
        <v>5</v>
      </c>
    </row>
    <row r="359" spans="1:8">
      <c r="A359">
        <v>10360</v>
      </c>
      <c r="B359" s="1">
        <v>45806</v>
      </c>
      <c r="C359">
        <v>13379.5</v>
      </c>
      <c r="D359">
        <v>8</v>
      </c>
      <c r="E359" t="s">
        <v>41</v>
      </c>
      <c r="F359" t="s">
        <v>18</v>
      </c>
      <c r="G359" t="s">
        <v>16</v>
      </c>
      <c r="H359">
        <v>5</v>
      </c>
    </row>
    <row r="360" spans="1:8">
      <c r="A360">
        <v>10361</v>
      </c>
      <c r="B360" s="1">
        <v>45816</v>
      </c>
      <c r="C360">
        <v>17588.5</v>
      </c>
      <c r="D360">
        <v>23</v>
      </c>
      <c r="E360" t="s">
        <v>88</v>
      </c>
      <c r="F360" t="s">
        <v>18</v>
      </c>
      <c r="G360" t="s">
        <v>10</v>
      </c>
      <c r="H360">
        <v>6</v>
      </c>
    </row>
    <row r="361" spans="1:8">
      <c r="A361">
        <v>10362</v>
      </c>
      <c r="B361" s="1">
        <v>45833</v>
      </c>
      <c r="C361">
        <v>2261.75</v>
      </c>
      <c r="D361">
        <v>38</v>
      </c>
      <c r="E361" t="s">
        <v>52</v>
      </c>
      <c r="F361" t="s">
        <v>9</v>
      </c>
      <c r="G361" t="s">
        <v>19</v>
      </c>
      <c r="H361">
        <v>6</v>
      </c>
    </row>
    <row r="362" spans="1:8">
      <c r="A362">
        <v>10363</v>
      </c>
      <c r="B362" s="1">
        <v>45821</v>
      </c>
      <c r="C362">
        <v>2387.75</v>
      </c>
      <c r="D362">
        <v>72</v>
      </c>
      <c r="E362" t="s">
        <v>76</v>
      </c>
      <c r="F362" t="s">
        <v>9</v>
      </c>
      <c r="G362" t="s">
        <v>12</v>
      </c>
      <c r="H362">
        <v>6</v>
      </c>
    </row>
    <row r="363" spans="1:8">
      <c r="A363">
        <v>10364</v>
      </c>
      <c r="B363" s="1">
        <v>45821</v>
      </c>
      <c r="C363">
        <v>1033.75</v>
      </c>
      <c r="D363">
        <v>36</v>
      </c>
      <c r="E363" t="s">
        <v>83</v>
      </c>
      <c r="F363" t="s">
        <v>9</v>
      </c>
      <c r="G363" t="s">
        <v>16</v>
      </c>
      <c r="H363">
        <v>6</v>
      </c>
    </row>
    <row r="364" spans="1:8">
      <c r="A364">
        <v>10365</v>
      </c>
      <c r="B364" s="1">
        <v>45834</v>
      </c>
      <c r="C364">
        <v>9463.75</v>
      </c>
      <c r="D364">
        <v>17</v>
      </c>
      <c r="E364" t="s">
        <v>73</v>
      </c>
      <c r="F364" t="s">
        <v>18</v>
      </c>
      <c r="G364" t="s">
        <v>16</v>
      </c>
      <c r="H364">
        <v>6</v>
      </c>
    </row>
    <row r="365" spans="1:8">
      <c r="A365">
        <v>10366</v>
      </c>
      <c r="B365" s="1">
        <v>45811</v>
      </c>
      <c r="C365">
        <v>2340.75</v>
      </c>
      <c r="D365">
        <v>74</v>
      </c>
      <c r="E365" t="s">
        <v>32</v>
      </c>
      <c r="F365" t="s">
        <v>9</v>
      </c>
      <c r="G365" t="s">
        <v>16</v>
      </c>
      <c r="H365">
        <v>6</v>
      </c>
    </row>
    <row r="366" spans="1:8">
      <c r="A366">
        <v>10367</v>
      </c>
      <c r="B366" s="1">
        <v>45827</v>
      </c>
      <c r="C366">
        <v>514.5</v>
      </c>
      <c r="D366">
        <v>48</v>
      </c>
      <c r="E366" t="s">
        <v>74</v>
      </c>
      <c r="F366" t="s">
        <v>9</v>
      </c>
      <c r="G366" t="s">
        <v>16</v>
      </c>
      <c r="H366">
        <v>6</v>
      </c>
    </row>
    <row r="367" spans="1:8">
      <c r="A367">
        <v>10368</v>
      </c>
      <c r="B367" s="1">
        <v>45836</v>
      </c>
      <c r="C367">
        <v>1597</v>
      </c>
      <c r="D367">
        <v>32</v>
      </c>
      <c r="E367" t="s">
        <v>65</v>
      </c>
      <c r="F367" t="s">
        <v>9</v>
      </c>
      <c r="G367" t="s">
        <v>12</v>
      </c>
      <c r="H367">
        <v>6</v>
      </c>
    </row>
    <row r="368" spans="1:8">
      <c r="A368">
        <v>10369</v>
      </c>
      <c r="B368" s="1">
        <v>45812</v>
      </c>
      <c r="C368">
        <v>16610.5</v>
      </c>
      <c r="D368">
        <v>21</v>
      </c>
      <c r="E368" t="s">
        <v>37</v>
      </c>
      <c r="F368" t="s">
        <v>18</v>
      </c>
      <c r="G368" t="s">
        <v>16</v>
      </c>
      <c r="H368">
        <v>6</v>
      </c>
    </row>
    <row r="369" spans="1:8">
      <c r="A369">
        <v>10370</v>
      </c>
      <c r="B369" s="1">
        <v>45835</v>
      </c>
      <c r="C369">
        <v>2168.75</v>
      </c>
      <c r="D369">
        <v>49</v>
      </c>
      <c r="E369" t="s">
        <v>29</v>
      </c>
      <c r="F369" t="s">
        <v>9</v>
      </c>
      <c r="G369" t="s">
        <v>19</v>
      </c>
      <c r="H369">
        <v>6</v>
      </c>
    </row>
    <row r="370" spans="1:8">
      <c r="A370">
        <v>10371</v>
      </c>
      <c r="B370" s="1">
        <v>45818</v>
      </c>
      <c r="C370">
        <v>2543.75</v>
      </c>
      <c r="D370">
        <v>9</v>
      </c>
      <c r="E370" t="s">
        <v>56</v>
      </c>
      <c r="F370" t="s">
        <v>18</v>
      </c>
      <c r="G370" t="s">
        <v>57</v>
      </c>
      <c r="H370">
        <v>6</v>
      </c>
    </row>
    <row r="371" spans="1:8">
      <c r="A371">
        <v>10372</v>
      </c>
      <c r="B371" s="1">
        <v>45838</v>
      </c>
      <c r="C371">
        <v>6956</v>
      </c>
      <c r="D371">
        <v>21</v>
      </c>
      <c r="E371" t="s">
        <v>37</v>
      </c>
      <c r="F371" t="s">
        <v>18</v>
      </c>
      <c r="G371" t="s">
        <v>16</v>
      </c>
      <c r="H371">
        <v>6</v>
      </c>
    </row>
    <row r="372" spans="1:8">
      <c r="A372">
        <v>10373</v>
      </c>
      <c r="B372" s="1">
        <v>45828</v>
      </c>
      <c r="C372">
        <v>2002.25</v>
      </c>
      <c r="D372">
        <v>72</v>
      </c>
      <c r="E372" t="s">
        <v>76</v>
      </c>
      <c r="F372" t="s">
        <v>9</v>
      </c>
      <c r="G372" t="s">
        <v>12</v>
      </c>
      <c r="H372">
        <v>6</v>
      </c>
    </row>
    <row r="373" spans="1:8">
      <c r="A373">
        <v>10374</v>
      </c>
      <c r="B373" s="1">
        <v>45834</v>
      </c>
      <c r="C373">
        <v>478</v>
      </c>
      <c r="D373">
        <v>39</v>
      </c>
      <c r="E373" t="s">
        <v>25</v>
      </c>
      <c r="F373" t="s">
        <v>9</v>
      </c>
      <c r="G373" t="s">
        <v>19</v>
      </c>
      <c r="H373">
        <v>6</v>
      </c>
    </row>
    <row r="374" spans="1:8">
      <c r="A374">
        <v>10375</v>
      </c>
      <c r="B374" s="1">
        <v>45824</v>
      </c>
      <c r="C374">
        <v>13166.5</v>
      </c>
      <c r="D374">
        <v>10</v>
      </c>
      <c r="E374" t="s">
        <v>64</v>
      </c>
      <c r="F374" t="s">
        <v>18</v>
      </c>
      <c r="G374" t="s">
        <v>19</v>
      </c>
      <c r="H374">
        <v>6</v>
      </c>
    </row>
    <row r="375" spans="1:8">
      <c r="A375">
        <v>10376</v>
      </c>
      <c r="B375" s="1">
        <v>45813</v>
      </c>
      <c r="C375">
        <v>7002.75</v>
      </c>
      <c r="D375">
        <v>3</v>
      </c>
      <c r="E375" t="s">
        <v>27</v>
      </c>
      <c r="F375" t="s">
        <v>18</v>
      </c>
      <c r="G375" t="s">
        <v>12</v>
      </c>
      <c r="H375">
        <v>6</v>
      </c>
    </row>
    <row r="376" spans="1:8">
      <c r="A376">
        <v>10377</v>
      </c>
      <c r="B376" s="1">
        <v>45824</v>
      </c>
      <c r="C376">
        <v>14946.5</v>
      </c>
      <c r="D376">
        <v>11</v>
      </c>
      <c r="E376" t="s">
        <v>31</v>
      </c>
      <c r="F376" t="s">
        <v>18</v>
      </c>
      <c r="G376" t="s">
        <v>19</v>
      </c>
      <c r="H376">
        <v>6</v>
      </c>
    </row>
    <row r="377" spans="1:8">
      <c r="A377">
        <v>10378</v>
      </c>
      <c r="B377" s="1">
        <v>45827</v>
      </c>
      <c r="C377">
        <v>1737.5</v>
      </c>
      <c r="D377">
        <v>60</v>
      </c>
      <c r="E377" t="s">
        <v>89</v>
      </c>
      <c r="F377" t="s">
        <v>9</v>
      </c>
      <c r="G377" t="s">
        <v>10</v>
      </c>
      <c r="H377">
        <v>6</v>
      </c>
    </row>
    <row r="378" spans="1:8">
      <c r="A378">
        <v>10379</v>
      </c>
      <c r="B378" s="1">
        <v>45828</v>
      </c>
      <c r="C378">
        <v>483.25</v>
      </c>
      <c r="D378">
        <v>69</v>
      </c>
      <c r="E378" t="s">
        <v>44</v>
      </c>
      <c r="F378" t="s">
        <v>9</v>
      </c>
      <c r="G378" t="s">
        <v>19</v>
      </c>
      <c r="H378">
        <v>6</v>
      </c>
    </row>
    <row r="379" spans="1:8">
      <c r="A379">
        <v>10380</v>
      </c>
      <c r="B379" s="1">
        <v>45829</v>
      </c>
      <c r="C379">
        <v>2531.25</v>
      </c>
      <c r="D379">
        <v>72</v>
      </c>
      <c r="E379" t="s">
        <v>76</v>
      </c>
      <c r="F379" t="s">
        <v>9</v>
      </c>
      <c r="G379" t="s">
        <v>12</v>
      </c>
      <c r="H379">
        <v>6</v>
      </c>
    </row>
    <row r="380" spans="1:8">
      <c r="A380">
        <v>10381</v>
      </c>
      <c r="B380" s="1">
        <v>45838</v>
      </c>
      <c r="C380">
        <v>2518.25</v>
      </c>
      <c r="D380">
        <v>46</v>
      </c>
      <c r="E380" t="s">
        <v>15</v>
      </c>
      <c r="F380" t="s">
        <v>9</v>
      </c>
      <c r="G380" t="s">
        <v>16</v>
      </c>
      <c r="H380">
        <v>6</v>
      </c>
    </row>
    <row r="381" spans="1:8">
      <c r="A381">
        <v>10382</v>
      </c>
      <c r="B381" s="1">
        <v>45818</v>
      </c>
      <c r="C381">
        <v>6629</v>
      </c>
      <c r="D381">
        <v>5</v>
      </c>
      <c r="E381" t="s">
        <v>17</v>
      </c>
      <c r="F381" t="s">
        <v>18</v>
      </c>
      <c r="G381" t="s">
        <v>19</v>
      </c>
      <c r="H381">
        <v>6</v>
      </c>
    </row>
    <row r="382" spans="1:8">
      <c r="A382">
        <v>10383</v>
      </c>
      <c r="B382" s="1">
        <v>45816</v>
      </c>
      <c r="C382">
        <v>1318.75</v>
      </c>
      <c r="D382">
        <v>67</v>
      </c>
      <c r="E382" t="s">
        <v>35</v>
      </c>
      <c r="F382" t="s">
        <v>9</v>
      </c>
      <c r="G382" t="s">
        <v>10</v>
      </c>
      <c r="H382">
        <v>6</v>
      </c>
    </row>
    <row r="383" spans="1:8">
      <c r="A383">
        <v>10384</v>
      </c>
      <c r="B383" s="1">
        <v>45834</v>
      </c>
      <c r="C383">
        <v>1053</v>
      </c>
      <c r="D383">
        <v>73</v>
      </c>
      <c r="E383" t="s">
        <v>49</v>
      </c>
      <c r="F383" t="s">
        <v>9</v>
      </c>
      <c r="G383" t="s">
        <v>16</v>
      </c>
      <c r="H383">
        <v>6</v>
      </c>
    </row>
    <row r="384" spans="1:8">
      <c r="A384">
        <v>10385</v>
      </c>
      <c r="B384" s="1">
        <v>45827</v>
      </c>
      <c r="C384">
        <v>2414.25</v>
      </c>
      <c r="D384">
        <v>57</v>
      </c>
      <c r="E384" t="s">
        <v>11</v>
      </c>
      <c r="F384" t="s">
        <v>9</v>
      </c>
      <c r="G384" t="s">
        <v>12</v>
      </c>
      <c r="H384">
        <v>6</v>
      </c>
    </row>
    <row r="385" spans="1:8">
      <c r="A385">
        <v>10386</v>
      </c>
      <c r="B385" s="1">
        <v>45814</v>
      </c>
      <c r="C385">
        <v>1952.5</v>
      </c>
      <c r="D385">
        <v>51</v>
      </c>
      <c r="E385" t="s">
        <v>36</v>
      </c>
      <c r="F385" t="s">
        <v>9</v>
      </c>
      <c r="G385" t="s">
        <v>19</v>
      </c>
      <c r="H385">
        <v>6</v>
      </c>
    </row>
    <row r="386" spans="1:8">
      <c r="A386">
        <v>10387</v>
      </c>
      <c r="B386" s="1">
        <v>45831</v>
      </c>
      <c r="C386">
        <v>1728.25</v>
      </c>
      <c r="D386">
        <v>47</v>
      </c>
      <c r="E386" t="s">
        <v>68</v>
      </c>
      <c r="F386" t="s">
        <v>9</v>
      </c>
      <c r="G386" t="s">
        <v>19</v>
      </c>
      <c r="H386">
        <v>6</v>
      </c>
    </row>
    <row r="387" spans="1:8">
      <c r="A387">
        <v>10388</v>
      </c>
      <c r="B387" s="1">
        <v>45824</v>
      </c>
      <c r="C387">
        <v>15901.75</v>
      </c>
      <c r="D387">
        <v>26</v>
      </c>
      <c r="E387" t="s">
        <v>47</v>
      </c>
      <c r="F387" t="s">
        <v>18</v>
      </c>
      <c r="G387" t="s">
        <v>12</v>
      </c>
      <c r="H387">
        <v>6</v>
      </c>
    </row>
    <row r="388" spans="1:8">
      <c r="A388">
        <v>10389</v>
      </c>
      <c r="B388" s="1">
        <v>45814</v>
      </c>
      <c r="C388">
        <v>2408.5</v>
      </c>
      <c r="D388">
        <v>68</v>
      </c>
      <c r="E388" t="s">
        <v>81</v>
      </c>
      <c r="F388" t="s">
        <v>9</v>
      </c>
      <c r="G388" t="s">
        <v>57</v>
      </c>
      <c r="H388">
        <v>6</v>
      </c>
    </row>
    <row r="389" spans="1:8">
      <c r="A389">
        <v>10390</v>
      </c>
      <c r="B389" s="1">
        <v>45809</v>
      </c>
      <c r="C389">
        <v>1120.5</v>
      </c>
      <c r="D389">
        <v>49</v>
      </c>
      <c r="E389" t="s">
        <v>29</v>
      </c>
      <c r="F389" t="s">
        <v>9</v>
      </c>
      <c r="G389" t="s">
        <v>19</v>
      </c>
      <c r="H389">
        <v>6</v>
      </c>
    </row>
    <row r="390" spans="1:8">
      <c r="A390">
        <v>10391</v>
      </c>
      <c r="B390" s="1">
        <v>45818</v>
      </c>
      <c r="C390">
        <v>7051.25</v>
      </c>
      <c r="D390">
        <v>21</v>
      </c>
      <c r="E390" t="s">
        <v>37</v>
      </c>
      <c r="F390" t="s">
        <v>18</v>
      </c>
      <c r="G390" t="s">
        <v>16</v>
      </c>
      <c r="H390">
        <v>6</v>
      </c>
    </row>
    <row r="391" spans="1:8">
      <c r="A391">
        <v>10392</v>
      </c>
      <c r="B391" s="1">
        <v>45816</v>
      </c>
      <c r="C391">
        <v>14175.25</v>
      </c>
      <c r="D391">
        <v>22</v>
      </c>
      <c r="E391" t="s">
        <v>60</v>
      </c>
      <c r="F391" t="s">
        <v>18</v>
      </c>
      <c r="G391" t="s">
        <v>10</v>
      </c>
      <c r="H391">
        <v>6</v>
      </c>
    </row>
    <row r="392" spans="1:8">
      <c r="A392">
        <v>10393</v>
      </c>
      <c r="B392" s="1">
        <v>45830</v>
      </c>
      <c r="C392">
        <v>1958.75</v>
      </c>
      <c r="D392">
        <v>50</v>
      </c>
      <c r="E392" t="s">
        <v>22</v>
      </c>
      <c r="F392" t="s">
        <v>9</v>
      </c>
      <c r="G392" t="s">
        <v>16</v>
      </c>
      <c r="H392">
        <v>6</v>
      </c>
    </row>
    <row r="393" spans="1:8">
      <c r="A393">
        <v>10394</v>
      </c>
      <c r="B393" s="1">
        <v>45835</v>
      </c>
      <c r="C393">
        <v>2099.25</v>
      </c>
      <c r="D393">
        <v>50</v>
      </c>
      <c r="E393" t="s">
        <v>22</v>
      </c>
      <c r="F393" t="s">
        <v>9</v>
      </c>
      <c r="G393" t="s">
        <v>16</v>
      </c>
      <c r="H393">
        <v>6</v>
      </c>
    </row>
    <row r="394" spans="1:8">
      <c r="A394">
        <v>10395</v>
      </c>
      <c r="B394" s="1">
        <v>45836</v>
      </c>
      <c r="C394">
        <v>2330.75</v>
      </c>
      <c r="D394">
        <v>54</v>
      </c>
      <c r="E394" t="s">
        <v>53</v>
      </c>
      <c r="F394" t="s">
        <v>9</v>
      </c>
      <c r="G394" t="s">
        <v>12</v>
      </c>
      <c r="H394">
        <v>6</v>
      </c>
    </row>
    <row r="395" spans="1:8">
      <c r="A395">
        <v>10396</v>
      </c>
      <c r="B395" s="1">
        <v>45825</v>
      </c>
      <c r="C395">
        <v>1016.5</v>
      </c>
      <c r="D395">
        <v>49</v>
      </c>
      <c r="E395" t="s">
        <v>29</v>
      </c>
      <c r="F395" t="s">
        <v>9</v>
      </c>
      <c r="G395" t="s">
        <v>19</v>
      </c>
      <c r="H395">
        <v>6</v>
      </c>
    </row>
    <row r="396" spans="1:8">
      <c r="A396">
        <v>10397</v>
      </c>
      <c r="B396" s="1">
        <v>45831</v>
      </c>
      <c r="C396">
        <v>321.25</v>
      </c>
      <c r="D396">
        <v>43</v>
      </c>
      <c r="E396" t="s">
        <v>90</v>
      </c>
      <c r="F396" t="s">
        <v>9</v>
      </c>
      <c r="G396" t="s">
        <v>19</v>
      </c>
      <c r="H396">
        <v>6</v>
      </c>
    </row>
    <row r="397" spans="1:8">
      <c r="A397">
        <v>10398</v>
      </c>
      <c r="B397" s="1">
        <v>45836</v>
      </c>
      <c r="C397">
        <v>2440</v>
      </c>
      <c r="D397">
        <v>55</v>
      </c>
      <c r="E397" t="s">
        <v>63</v>
      </c>
      <c r="F397" t="s">
        <v>9</v>
      </c>
      <c r="G397" t="s">
        <v>19</v>
      </c>
      <c r="H397">
        <v>6</v>
      </c>
    </row>
    <row r="398" spans="1:8">
      <c r="A398">
        <v>10399</v>
      </c>
      <c r="B398" s="1">
        <v>45815</v>
      </c>
      <c r="C398">
        <v>4242.25</v>
      </c>
      <c r="D398">
        <v>8</v>
      </c>
      <c r="E398" t="s">
        <v>41</v>
      </c>
      <c r="F398" t="s">
        <v>18</v>
      </c>
      <c r="G398" t="s">
        <v>16</v>
      </c>
      <c r="H398">
        <v>6</v>
      </c>
    </row>
    <row r="399" spans="1:8">
      <c r="A399">
        <v>10400</v>
      </c>
      <c r="B399" s="1">
        <v>45822</v>
      </c>
      <c r="C399">
        <v>7700.5</v>
      </c>
      <c r="D399">
        <v>28</v>
      </c>
      <c r="E399" t="s">
        <v>79</v>
      </c>
      <c r="F399" t="s">
        <v>18</v>
      </c>
      <c r="G399" t="s">
        <v>12</v>
      </c>
      <c r="H399">
        <v>6</v>
      </c>
    </row>
    <row r="400" spans="1:8">
      <c r="A400">
        <v>10401</v>
      </c>
      <c r="B400" s="1">
        <v>45836</v>
      </c>
      <c r="C400">
        <v>688.75</v>
      </c>
      <c r="D400">
        <v>39</v>
      </c>
      <c r="E400" t="s">
        <v>25</v>
      </c>
      <c r="F400" t="s">
        <v>9</v>
      </c>
      <c r="G400" t="s">
        <v>19</v>
      </c>
      <c r="H400">
        <v>6</v>
      </c>
    </row>
    <row r="401" spans="1:8">
      <c r="A401">
        <v>10402</v>
      </c>
      <c r="B401" s="1">
        <v>45821</v>
      </c>
      <c r="C401">
        <v>7035.5</v>
      </c>
      <c r="D401">
        <v>30</v>
      </c>
      <c r="E401" t="s">
        <v>70</v>
      </c>
      <c r="F401" t="s">
        <v>18</v>
      </c>
      <c r="G401" t="s">
        <v>10</v>
      </c>
      <c r="H401">
        <v>6</v>
      </c>
    </row>
    <row r="402" spans="1:8">
      <c r="A402">
        <v>10403</v>
      </c>
      <c r="B402" s="1">
        <v>45836</v>
      </c>
      <c r="C402">
        <v>11174.25</v>
      </c>
      <c r="D402">
        <v>14</v>
      </c>
      <c r="E402" t="s">
        <v>42</v>
      </c>
      <c r="F402" t="s">
        <v>18</v>
      </c>
      <c r="G402" t="s">
        <v>10</v>
      </c>
      <c r="H402">
        <v>6</v>
      </c>
    </row>
    <row r="403" spans="1:8">
      <c r="A403">
        <v>10404</v>
      </c>
      <c r="B403" s="1">
        <v>45825</v>
      </c>
      <c r="C403">
        <v>2187.75</v>
      </c>
      <c r="D403">
        <v>47</v>
      </c>
      <c r="E403" t="s">
        <v>68</v>
      </c>
      <c r="F403" t="s">
        <v>9</v>
      </c>
      <c r="G403" t="s">
        <v>19</v>
      </c>
      <c r="H403">
        <v>6</v>
      </c>
    </row>
    <row r="404" spans="1:8">
      <c r="A404">
        <v>10405</v>
      </c>
      <c r="B404" s="1">
        <v>45826</v>
      </c>
      <c r="C404">
        <v>644.5</v>
      </c>
      <c r="D404">
        <v>40</v>
      </c>
      <c r="E404" t="s">
        <v>58</v>
      </c>
      <c r="F404" t="s">
        <v>9</v>
      </c>
      <c r="G404" t="s">
        <v>19</v>
      </c>
      <c r="H404">
        <v>6</v>
      </c>
    </row>
    <row r="405" spans="1:8">
      <c r="A405">
        <v>10406</v>
      </c>
      <c r="B405" s="1">
        <v>45817</v>
      </c>
      <c r="C405">
        <v>1906.25</v>
      </c>
      <c r="D405">
        <v>48</v>
      </c>
      <c r="E405" t="s">
        <v>74</v>
      </c>
      <c r="F405" t="s">
        <v>9</v>
      </c>
      <c r="G405" t="s">
        <v>16</v>
      </c>
      <c r="H405">
        <v>6</v>
      </c>
    </row>
    <row r="406" spans="1:8">
      <c r="A406">
        <v>10407</v>
      </c>
      <c r="B406" s="1">
        <v>45814</v>
      </c>
      <c r="C406">
        <v>1221.75</v>
      </c>
      <c r="D406">
        <v>42</v>
      </c>
      <c r="E406" t="s">
        <v>8</v>
      </c>
      <c r="F406" t="s">
        <v>9</v>
      </c>
      <c r="G406" t="s">
        <v>10</v>
      </c>
      <c r="H406">
        <v>6</v>
      </c>
    </row>
    <row r="407" spans="1:8">
      <c r="A407">
        <v>10408</v>
      </c>
      <c r="B407" s="1">
        <v>45820</v>
      </c>
      <c r="C407">
        <v>17069.75</v>
      </c>
      <c r="D407">
        <v>17</v>
      </c>
      <c r="E407" t="s">
        <v>73</v>
      </c>
      <c r="F407" t="s">
        <v>18</v>
      </c>
      <c r="G407" t="s">
        <v>16</v>
      </c>
      <c r="H407">
        <v>6</v>
      </c>
    </row>
    <row r="408" spans="1:8">
      <c r="A408">
        <v>10409</v>
      </c>
      <c r="B408" s="1">
        <v>45828</v>
      </c>
      <c r="C408">
        <v>5812</v>
      </c>
      <c r="D408">
        <v>9</v>
      </c>
      <c r="E408" t="s">
        <v>56</v>
      </c>
      <c r="F408" t="s">
        <v>18</v>
      </c>
      <c r="G408" t="s">
        <v>57</v>
      </c>
      <c r="H408">
        <v>6</v>
      </c>
    </row>
    <row r="409" spans="1:8">
      <c r="A409">
        <v>10410</v>
      </c>
      <c r="B409" s="1">
        <v>45817</v>
      </c>
      <c r="C409">
        <v>14391.25</v>
      </c>
      <c r="D409">
        <v>18</v>
      </c>
      <c r="E409" t="s">
        <v>71</v>
      </c>
      <c r="F409" t="s">
        <v>18</v>
      </c>
      <c r="G409" t="s">
        <v>10</v>
      </c>
      <c r="H409">
        <v>6</v>
      </c>
    </row>
    <row r="410" spans="1:8">
      <c r="A410">
        <v>10411</v>
      </c>
      <c r="B410" s="1">
        <v>45818</v>
      </c>
      <c r="C410">
        <v>15685.25</v>
      </c>
      <c r="D410">
        <v>9</v>
      </c>
      <c r="E410" t="s">
        <v>56</v>
      </c>
      <c r="F410" t="s">
        <v>18</v>
      </c>
      <c r="G410" t="s">
        <v>57</v>
      </c>
      <c r="H410">
        <v>6</v>
      </c>
    </row>
    <row r="411" spans="1:8">
      <c r="A411">
        <v>10412</v>
      </c>
      <c r="B411" s="1">
        <v>45816</v>
      </c>
      <c r="C411">
        <v>2305.25</v>
      </c>
      <c r="D411">
        <v>67</v>
      </c>
      <c r="E411" t="s">
        <v>35</v>
      </c>
      <c r="F411" t="s">
        <v>9</v>
      </c>
      <c r="G411" t="s">
        <v>10</v>
      </c>
      <c r="H411">
        <v>6</v>
      </c>
    </row>
    <row r="412" spans="1:8">
      <c r="A412">
        <v>10413</v>
      </c>
      <c r="B412" s="1">
        <v>45837</v>
      </c>
      <c r="C412">
        <v>2146.25</v>
      </c>
      <c r="D412">
        <v>50</v>
      </c>
      <c r="E412" t="s">
        <v>22</v>
      </c>
      <c r="F412" t="s">
        <v>9</v>
      </c>
      <c r="G412" t="s">
        <v>16</v>
      </c>
      <c r="H412">
        <v>6</v>
      </c>
    </row>
    <row r="413" spans="1:8">
      <c r="A413">
        <v>10414</v>
      </c>
      <c r="B413" s="1">
        <v>45836</v>
      </c>
      <c r="C413">
        <v>1036</v>
      </c>
      <c r="D413">
        <v>59</v>
      </c>
      <c r="E413" t="s">
        <v>86</v>
      </c>
      <c r="F413" t="s">
        <v>9</v>
      </c>
      <c r="G413" t="s">
        <v>16</v>
      </c>
      <c r="H413">
        <v>6</v>
      </c>
    </row>
    <row r="414" spans="1:8">
      <c r="A414">
        <v>10415</v>
      </c>
      <c r="B414" s="1">
        <v>45818</v>
      </c>
      <c r="C414">
        <v>13067.25</v>
      </c>
      <c r="D414">
        <v>6</v>
      </c>
      <c r="E414" t="s">
        <v>48</v>
      </c>
      <c r="F414" t="s">
        <v>18</v>
      </c>
      <c r="G414" t="s">
        <v>19</v>
      </c>
      <c r="H414">
        <v>6</v>
      </c>
    </row>
    <row r="415" spans="1:8">
      <c r="A415">
        <v>10416</v>
      </c>
      <c r="B415" s="1">
        <v>45814</v>
      </c>
      <c r="C415">
        <v>5798</v>
      </c>
      <c r="D415">
        <v>24</v>
      </c>
      <c r="E415" t="s">
        <v>72</v>
      </c>
      <c r="F415" t="s">
        <v>18</v>
      </c>
      <c r="G415" t="s">
        <v>12</v>
      </c>
      <c r="H415">
        <v>6</v>
      </c>
    </row>
    <row r="416" spans="1:8">
      <c r="A416">
        <v>10417</v>
      </c>
      <c r="B416" s="1">
        <v>45812</v>
      </c>
      <c r="C416">
        <v>8025.75</v>
      </c>
      <c r="D416">
        <v>23</v>
      </c>
      <c r="E416" t="s">
        <v>88</v>
      </c>
      <c r="F416" t="s">
        <v>18</v>
      </c>
      <c r="G416" t="s">
        <v>10</v>
      </c>
      <c r="H416">
        <v>6</v>
      </c>
    </row>
    <row r="417" spans="1:8">
      <c r="A417">
        <v>10418</v>
      </c>
      <c r="B417" s="1">
        <v>45824</v>
      </c>
      <c r="C417">
        <v>6350</v>
      </c>
      <c r="D417">
        <v>5</v>
      </c>
      <c r="E417" t="s">
        <v>17</v>
      </c>
      <c r="F417" t="s">
        <v>18</v>
      </c>
      <c r="G417" t="s">
        <v>19</v>
      </c>
      <c r="H417">
        <v>6</v>
      </c>
    </row>
    <row r="418" spans="1:8">
      <c r="A418">
        <v>10419</v>
      </c>
      <c r="B418" s="1">
        <v>45817</v>
      </c>
      <c r="C418">
        <v>6339.75</v>
      </c>
      <c r="D418">
        <v>15</v>
      </c>
      <c r="E418" t="s">
        <v>51</v>
      </c>
      <c r="F418" t="s">
        <v>18</v>
      </c>
      <c r="G418" t="s">
        <v>10</v>
      </c>
      <c r="H418">
        <v>6</v>
      </c>
    </row>
    <row r="419" spans="1:8">
      <c r="A419">
        <v>10420</v>
      </c>
      <c r="B419" s="1">
        <v>45818</v>
      </c>
      <c r="C419">
        <v>2208</v>
      </c>
      <c r="D419">
        <v>44</v>
      </c>
      <c r="E419" t="s">
        <v>78</v>
      </c>
      <c r="F419" t="s">
        <v>9</v>
      </c>
      <c r="G419" t="s">
        <v>57</v>
      </c>
      <c r="H419">
        <v>6</v>
      </c>
    </row>
    <row r="420" spans="1:8">
      <c r="A420">
        <v>10421</v>
      </c>
      <c r="B420" s="1">
        <v>45828</v>
      </c>
      <c r="C420">
        <v>13230</v>
      </c>
      <c r="D420">
        <v>18</v>
      </c>
      <c r="E420" t="s">
        <v>71</v>
      </c>
      <c r="F420" t="s">
        <v>18</v>
      </c>
      <c r="G420" t="s">
        <v>10</v>
      </c>
      <c r="H420">
        <v>6</v>
      </c>
    </row>
    <row r="421" spans="1:8">
      <c r="A421">
        <v>10422</v>
      </c>
      <c r="B421" s="1">
        <v>45820</v>
      </c>
      <c r="C421">
        <v>1427.75</v>
      </c>
      <c r="D421">
        <v>41</v>
      </c>
      <c r="E421" t="s">
        <v>80</v>
      </c>
      <c r="F421" t="s">
        <v>9</v>
      </c>
      <c r="G421" t="s">
        <v>10</v>
      </c>
      <c r="H421">
        <v>6</v>
      </c>
    </row>
    <row r="422" spans="1:8">
      <c r="A422">
        <v>10423</v>
      </c>
      <c r="B422" s="1">
        <v>45815</v>
      </c>
      <c r="C422">
        <v>8672</v>
      </c>
      <c r="D422">
        <v>30</v>
      </c>
      <c r="E422" t="s">
        <v>70</v>
      </c>
      <c r="F422" t="s">
        <v>18</v>
      </c>
      <c r="G422" t="s">
        <v>10</v>
      </c>
      <c r="H422">
        <v>6</v>
      </c>
    </row>
    <row r="423" spans="1:8">
      <c r="A423">
        <v>10424</v>
      </c>
      <c r="B423" s="1">
        <v>45811</v>
      </c>
      <c r="C423">
        <v>2690</v>
      </c>
      <c r="D423">
        <v>74</v>
      </c>
      <c r="E423" t="s">
        <v>32</v>
      </c>
      <c r="F423" t="s">
        <v>9</v>
      </c>
      <c r="G423" t="s">
        <v>16</v>
      </c>
      <c r="H423">
        <v>6</v>
      </c>
    </row>
    <row r="424" spans="1:8">
      <c r="A424">
        <v>10425</v>
      </c>
      <c r="B424" s="1">
        <v>45811</v>
      </c>
      <c r="C424">
        <v>1567</v>
      </c>
      <c r="D424">
        <v>76</v>
      </c>
      <c r="E424" t="s">
        <v>13</v>
      </c>
      <c r="F424" t="s">
        <v>9</v>
      </c>
      <c r="G424" t="s">
        <v>12</v>
      </c>
      <c r="H424">
        <v>6</v>
      </c>
    </row>
    <row r="425" spans="1:8">
      <c r="A425">
        <v>10426</v>
      </c>
      <c r="B425" s="1">
        <v>45835</v>
      </c>
      <c r="C425">
        <v>8672.5</v>
      </c>
      <c r="D425">
        <v>12</v>
      </c>
      <c r="E425" t="s">
        <v>75</v>
      </c>
      <c r="F425" t="s">
        <v>18</v>
      </c>
      <c r="G425" t="s">
        <v>16</v>
      </c>
      <c r="H425">
        <v>6</v>
      </c>
    </row>
    <row r="426" spans="1:8">
      <c r="A426">
        <v>10427</v>
      </c>
      <c r="B426" s="1">
        <v>45815</v>
      </c>
      <c r="C426">
        <v>5062.75</v>
      </c>
      <c r="D426">
        <v>26</v>
      </c>
      <c r="E426" t="s">
        <v>47</v>
      </c>
      <c r="F426" t="s">
        <v>18</v>
      </c>
      <c r="G426" t="s">
        <v>12</v>
      </c>
      <c r="H426">
        <v>6</v>
      </c>
    </row>
    <row r="427" spans="1:8">
      <c r="A427">
        <v>10428</v>
      </c>
      <c r="B427" s="1">
        <v>45821</v>
      </c>
      <c r="C427">
        <v>2270.75</v>
      </c>
      <c r="D427">
        <v>59</v>
      </c>
      <c r="E427" t="s">
        <v>86</v>
      </c>
      <c r="F427" t="s">
        <v>9</v>
      </c>
      <c r="G427" t="s">
        <v>16</v>
      </c>
      <c r="H427">
        <v>6</v>
      </c>
    </row>
    <row r="428" spans="1:8">
      <c r="A428">
        <v>10429</v>
      </c>
      <c r="B428" s="1">
        <v>45810</v>
      </c>
      <c r="C428">
        <v>548.75</v>
      </c>
      <c r="D428">
        <v>56</v>
      </c>
      <c r="E428" t="s">
        <v>43</v>
      </c>
      <c r="F428" t="s">
        <v>9</v>
      </c>
      <c r="G428" t="s">
        <v>10</v>
      </c>
      <c r="H428">
        <v>6</v>
      </c>
    </row>
    <row r="429" spans="1:8">
      <c r="A429">
        <v>10430</v>
      </c>
      <c r="B429" s="1">
        <v>45823</v>
      </c>
      <c r="C429">
        <v>2253.5</v>
      </c>
      <c r="D429">
        <v>60</v>
      </c>
      <c r="E429" t="s">
        <v>89</v>
      </c>
      <c r="F429" t="s">
        <v>9</v>
      </c>
      <c r="G429" t="s">
        <v>10</v>
      </c>
      <c r="H429">
        <v>6</v>
      </c>
    </row>
    <row r="430" spans="1:8">
      <c r="A430">
        <v>10431</v>
      </c>
      <c r="B430" s="1">
        <v>45838</v>
      </c>
      <c r="C430">
        <v>855.25</v>
      </c>
      <c r="D430">
        <v>38</v>
      </c>
      <c r="E430" t="s">
        <v>52</v>
      </c>
      <c r="F430" t="s">
        <v>9</v>
      </c>
      <c r="G430" t="s">
        <v>19</v>
      </c>
      <c r="H430">
        <v>6</v>
      </c>
    </row>
    <row r="431" spans="1:8">
      <c r="A431">
        <v>10432</v>
      </c>
      <c r="B431" s="1">
        <v>45833</v>
      </c>
      <c r="C431">
        <v>1486.75</v>
      </c>
      <c r="D431">
        <v>31</v>
      </c>
      <c r="E431" t="s">
        <v>77</v>
      </c>
      <c r="F431" t="s">
        <v>9</v>
      </c>
      <c r="G431" t="s">
        <v>16</v>
      </c>
      <c r="H431">
        <v>6</v>
      </c>
    </row>
    <row r="432" spans="1:8">
      <c r="A432">
        <v>10433</v>
      </c>
      <c r="B432" s="1">
        <v>45825</v>
      </c>
      <c r="C432">
        <v>2094</v>
      </c>
      <c r="D432">
        <v>2</v>
      </c>
      <c r="E432" t="s">
        <v>46</v>
      </c>
      <c r="F432" t="s">
        <v>18</v>
      </c>
      <c r="G432" t="s">
        <v>10</v>
      </c>
      <c r="H432">
        <v>6</v>
      </c>
    </row>
    <row r="433" spans="1:8">
      <c r="A433">
        <v>10434</v>
      </c>
      <c r="B433" s="1">
        <v>45809</v>
      </c>
      <c r="C433">
        <v>1737.75</v>
      </c>
      <c r="D433">
        <v>42</v>
      </c>
      <c r="E433" t="s">
        <v>8</v>
      </c>
      <c r="F433" t="s">
        <v>9</v>
      </c>
      <c r="G433" t="s">
        <v>10</v>
      </c>
      <c r="H433">
        <v>6</v>
      </c>
    </row>
    <row r="434" spans="1:8">
      <c r="A434">
        <v>10435</v>
      </c>
      <c r="B434" s="1">
        <v>45835</v>
      </c>
      <c r="C434">
        <v>14934</v>
      </c>
      <c r="D434">
        <v>19</v>
      </c>
      <c r="E434" t="s">
        <v>38</v>
      </c>
      <c r="F434" t="s">
        <v>18</v>
      </c>
      <c r="G434" t="s">
        <v>10</v>
      </c>
      <c r="H434">
        <v>6</v>
      </c>
    </row>
    <row r="435" spans="1:8">
      <c r="A435">
        <v>10436</v>
      </c>
      <c r="B435" s="1">
        <v>45810</v>
      </c>
      <c r="C435">
        <v>2199</v>
      </c>
      <c r="D435">
        <v>23</v>
      </c>
      <c r="E435" t="s">
        <v>88</v>
      </c>
      <c r="F435" t="s">
        <v>18</v>
      </c>
      <c r="G435" t="s">
        <v>10</v>
      </c>
      <c r="H435">
        <v>6</v>
      </c>
    </row>
    <row r="436" spans="1:8">
      <c r="A436">
        <v>10437</v>
      </c>
      <c r="B436" s="1">
        <v>45815</v>
      </c>
      <c r="C436">
        <v>1876</v>
      </c>
      <c r="D436">
        <v>36</v>
      </c>
      <c r="E436" t="s">
        <v>83</v>
      </c>
      <c r="F436" t="s">
        <v>9</v>
      </c>
      <c r="G436" t="s">
        <v>16</v>
      </c>
      <c r="H436">
        <v>6</v>
      </c>
    </row>
    <row r="437" spans="1:8">
      <c r="A437">
        <v>10438</v>
      </c>
      <c r="B437" s="1">
        <v>45816</v>
      </c>
      <c r="C437">
        <v>1707.5</v>
      </c>
      <c r="D437">
        <v>52</v>
      </c>
      <c r="E437" t="s">
        <v>61</v>
      </c>
      <c r="F437" t="s">
        <v>9</v>
      </c>
      <c r="G437" t="s">
        <v>12</v>
      </c>
      <c r="H437">
        <v>6</v>
      </c>
    </row>
    <row r="438" spans="1:8">
      <c r="A438">
        <v>10439</v>
      </c>
      <c r="B438" s="1">
        <v>45835</v>
      </c>
      <c r="C438">
        <v>1172.25</v>
      </c>
      <c r="D438">
        <v>48</v>
      </c>
      <c r="E438" t="s">
        <v>74</v>
      </c>
      <c r="F438" t="s">
        <v>9</v>
      </c>
      <c r="G438" t="s">
        <v>16</v>
      </c>
      <c r="H438">
        <v>6</v>
      </c>
    </row>
    <row r="439" spans="1:8">
      <c r="A439">
        <v>10440</v>
      </c>
      <c r="B439" s="1">
        <v>45826</v>
      </c>
      <c r="C439">
        <v>2008.75</v>
      </c>
      <c r="D439">
        <v>71</v>
      </c>
      <c r="E439" t="s">
        <v>39</v>
      </c>
      <c r="F439" t="s">
        <v>9</v>
      </c>
      <c r="G439" t="s">
        <v>16</v>
      </c>
      <c r="H439">
        <v>6</v>
      </c>
    </row>
    <row r="440" spans="1:8">
      <c r="A440">
        <v>10441</v>
      </c>
      <c r="B440" s="1">
        <v>45831</v>
      </c>
      <c r="C440">
        <v>781.25</v>
      </c>
      <c r="D440">
        <v>60</v>
      </c>
      <c r="E440" t="s">
        <v>89</v>
      </c>
      <c r="F440" t="s">
        <v>9</v>
      </c>
      <c r="G440" t="s">
        <v>10</v>
      </c>
      <c r="H440">
        <v>6</v>
      </c>
    </row>
    <row r="441" spans="1:8">
      <c r="A441">
        <v>10442</v>
      </c>
      <c r="B441" s="1">
        <v>45825</v>
      </c>
      <c r="C441">
        <v>9578.75</v>
      </c>
      <c r="D441">
        <v>17</v>
      </c>
      <c r="E441" t="s">
        <v>73</v>
      </c>
      <c r="F441" t="s">
        <v>18</v>
      </c>
      <c r="G441" t="s">
        <v>16</v>
      </c>
      <c r="H441">
        <v>6</v>
      </c>
    </row>
    <row r="442" spans="1:8">
      <c r="A442">
        <v>10443</v>
      </c>
      <c r="B442" s="1">
        <v>45862</v>
      </c>
      <c r="C442">
        <v>8042</v>
      </c>
      <c r="D442">
        <v>24</v>
      </c>
      <c r="E442" t="s">
        <v>72</v>
      </c>
      <c r="F442" t="s">
        <v>18</v>
      </c>
      <c r="G442" t="s">
        <v>12</v>
      </c>
      <c r="H442">
        <v>7</v>
      </c>
    </row>
    <row r="443" spans="1:8">
      <c r="A443">
        <v>10444</v>
      </c>
      <c r="B443" s="1">
        <v>45843</v>
      </c>
      <c r="C443">
        <v>9772.75</v>
      </c>
      <c r="D443">
        <v>20</v>
      </c>
      <c r="E443" t="s">
        <v>30</v>
      </c>
      <c r="F443" t="s">
        <v>18</v>
      </c>
      <c r="G443" t="s">
        <v>10</v>
      </c>
      <c r="H443">
        <v>7</v>
      </c>
    </row>
    <row r="444" spans="1:8">
      <c r="A444">
        <v>10445</v>
      </c>
      <c r="B444" s="1">
        <v>45852</v>
      </c>
      <c r="C444">
        <v>1139.5</v>
      </c>
      <c r="D444">
        <v>55</v>
      </c>
      <c r="E444" t="s">
        <v>63</v>
      </c>
      <c r="F444" t="s">
        <v>9</v>
      </c>
      <c r="G444" t="s">
        <v>19</v>
      </c>
      <c r="H444">
        <v>7</v>
      </c>
    </row>
    <row r="445" spans="1:8">
      <c r="A445">
        <v>10446</v>
      </c>
      <c r="B445" s="1">
        <v>45866</v>
      </c>
      <c r="C445">
        <v>1069.75</v>
      </c>
      <c r="D445">
        <v>48</v>
      </c>
      <c r="E445" t="s">
        <v>74</v>
      </c>
      <c r="F445" t="s">
        <v>9</v>
      </c>
      <c r="G445" t="s">
        <v>16</v>
      </c>
      <c r="H445">
        <v>7</v>
      </c>
    </row>
    <row r="446" spans="1:8">
      <c r="A446">
        <v>10447</v>
      </c>
      <c r="B446" s="1">
        <v>45844</v>
      </c>
      <c r="C446">
        <v>1206.5</v>
      </c>
      <c r="D446">
        <v>56</v>
      </c>
      <c r="E446" t="s">
        <v>43</v>
      </c>
      <c r="F446" t="s">
        <v>9</v>
      </c>
      <c r="G446" t="s">
        <v>10</v>
      </c>
      <c r="H446">
        <v>7</v>
      </c>
    </row>
    <row r="447" spans="1:8">
      <c r="A447">
        <v>10448</v>
      </c>
      <c r="B447" s="1">
        <v>45868</v>
      </c>
      <c r="C447">
        <v>2463.5</v>
      </c>
      <c r="D447">
        <v>44</v>
      </c>
      <c r="E447" t="s">
        <v>78</v>
      </c>
      <c r="F447" t="s">
        <v>9</v>
      </c>
      <c r="G447" t="s">
        <v>57</v>
      </c>
      <c r="H447">
        <v>7</v>
      </c>
    </row>
    <row r="448" spans="1:8">
      <c r="A448">
        <v>10449</v>
      </c>
      <c r="B448" s="1">
        <v>45852</v>
      </c>
      <c r="C448">
        <v>2085</v>
      </c>
      <c r="D448">
        <v>32</v>
      </c>
      <c r="E448" t="s">
        <v>65</v>
      </c>
      <c r="F448" t="s">
        <v>9</v>
      </c>
      <c r="G448" t="s">
        <v>12</v>
      </c>
      <c r="H448">
        <v>7</v>
      </c>
    </row>
    <row r="449" spans="1:8">
      <c r="A449">
        <v>10450</v>
      </c>
      <c r="B449" s="1">
        <v>45867</v>
      </c>
      <c r="C449">
        <v>6548</v>
      </c>
      <c r="D449">
        <v>4</v>
      </c>
      <c r="E449" t="s">
        <v>26</v>
      </c>
      <c r="F449" t="s">
        <v>18</v>
      </c>
      <c r="G449" t="s">
        <v>16</v>
      </c>
      <c r="H449">
        <v>7</v>
      </c>
    </row>
    <row r="450" spans="1:8">
      <c r="A450">
        <v>10451</v>
      </c>
      <c r="B450" s="1">
        <v>45857</v>
      </c>
      <c r="C450">
        <v>1741.75</v>
      </c>
      <c r="D450">
        <v>35</v>
      </c>
      <c r="E450" t="s">
        <v>40</v>
      </c>
      <c r="F450" t="s">
        <v>9</v>
      </c>
      <c r="G450" t="s">
        <v>10</v>
      </c>
      <c r="H450">
        <v>7</v>
      </c>
    </row>
    <row r="451" spans="1:8">
      <c r="A451">
        <v>10452</v>
      </c>
      <c r="B451" s="1">
        <v>45861</v>
      </c>
      <c r="C451">
        <v>13417</v>
      </c>
      <c r="D451">
        <v>26</v>
      </c>
      <c r="E451" t="s">
        <v>47</v>
      </c>
      <c r="F451" t="s">
        <v>18</v>
      </c>
      <c r="G451" t="s">
        <v>12</v>
      </c>
      <c r="H451">
        <v>7</v>
      </c>
    </row>
    <row r="452" spans="1:8">
      <c r="A452">
        <v>10453</v>
      </c>
      <c r="B452" s="1">
        <v>45861</v>
      </c>
      <c r="C452">
        <v>3057.5</v>
      </c>
      <c r="D452">
        <v>16</v>
      </c>
      <c r="E452" t="s">
        <v>21</v>
      </c>
      <c r="F452" t="s">
        <v>18</v>
      </c>
      <c r="G452" t="s">
        <v>10</v>
      </c>
      <c r="H452">
        <v>7</v>
      </c>
    </row>
    <row r="453" spans="1:8">
      <c r="A453">
        <v>10454</v>
      </c>
      <c r="B453" s="1">
        <v>45856</v>
      </c>
      <c r="C453">
        <v>5771.5</v>
      </c>
      <c r="D453">
        <v>29</v>
      </c>
      <c r="E453" t="s">
        <v>23</v>
      </c>
      <c r="F453" t="s">
        <v>18</v>
      </c>
      <c r="G453" t="s">
        <v>10</v>
      </c>
      <c r="H453">
        <v>7</v>
      </c>
    </row>
    <row r="454" spans="1:8">
      <c r="A454">
        <v>10455</v>
      </c>
      <c r="B454" s="1">
        <v>45846</v>
      </c>
      <c r="C454">
        <v>9651.25</v>
      </c>
      <c r="D454">
        <v>7</v>
      </c>
      <c r="E454" t="s">
        <v>66</v>
      </c>
      <c r="F454" t="s">
        <v>18</v>
      </c>
      <c r="G454" t="s">
        <v>10</v>
      </c>
      <c r="H454">
        <v>7</v>
      </c>
    </row>
    <row r="455" spans="1:8">
      <c r="A455">
        <v>10456</v>
      </c>
      <c r="B455" s="1">
        <v>45843</v>
      </c>
      <c r="C455">
        <v>9028.75</v>
      </c>
      <c r="D455">
        <v>25</v>
      </c>
      <c r="E455" t="s">
        <v>67</v>
      </c>
      <c r="F455" t="s">
        <v>18</v>
      </c>
      <c r="G455" t="s">
        <v>10</v>
      </c>
      <c r="H455">
        <v>7</v>
      </c>
    </row>
    <row r="456" spans="1:8">
      <c r="A456">
        <v>10457</v>
      </c>
      <c r="B456" s="1">
        <v>45866</v>
      </c>
      <c r="C456">
        <v>4402.25</v>
      </c>
      <c r="D456">
        <v>20</v>
      </c>
      <c r="E456" t="s">
        <v>30</v>
      </c>
      <c r="F456" t="s">
        <v>18</v>
      </c>
      <c r="G456" t="s">
        <v>10</v>
      </c>
      <c r="H456">
        <v>7</v>
      </c>
    </row>
    <row r="457" spans="1:8">
      <c r="A457">
        <v>10458</v>
      </c>
      <c r="B457" s="1">
        <v>45846</v>
      </c>
      <c r="C457">
        <v>891.75</v>
      </c>
      <c r="D457">
        <v>63</v>
      </c>
      <c r="E457" t="s">
        <v>55</v>
      </c>
      <c r="F457" t="s">
        <v>9</v>
      </c>
      <c r="G457" t="s">
        <v>10</v>
      </c>
      <c r="H457">
        <v>7</v>
      </c>
    </row>
    <row r="458" spans="1:8">
      <c r="A458">
        <v>10459</v>
      </c>
      <c r="B458" s="1">
        <v>45856</v>
      </c>
      <c r="C458">
        <v>15654</v>
      </c>
      <c r="D458">
        <v>4</v>
      </c>
      <c r="E458" t="s">
        <v>26</v>
      </c>
      <c r="F458" t="s">
        <v>18</v>
      </c>
      <c r="G458" t="s">
        <v>16</v>
      </c>
      <c r="H458">
        <v>7</v>
      </c>
    </row>
    <row r="459" spans="1:8">
      <c r="A459">
        <v>10460</v>
      </c>
      <c r="B459" s="1">
        <v>45853</v>
      </c>
      <c r="C459">
        <v>7615.25</v>
      </c>
      <c r="D459">
        <v>17</v>
      </c>
      <c r="E459" t="s">
        <v>73</v>
      </c>
      <c r="F459" t="s">
        <v>18</v>
      </c>
      <c r="G459" t="s">
        <v>16</v>
      </c>
      <c r="H459">
        <v>7</v>
      </c>
    </row>
    <row r="460" spans="1:8">
      <c r="A460">
        <v>10461</v>
      </c>
      <c r="B460" s="1">
        <v>45841</v>
      </c>
      <c r="C460">
        <v>2053.5</v>
      </c>
      <c r="D460">
        <v>45</v>
      </c>
      <c r="E460" t="s">
        <v>62</v>
      </c>
      <c r="F460" t="s">
        <v>9</v>
      </c>
      <c r="G460" t="s">
        <v>10</v>
      </c>
      <c r="H460">
        <v>7</v>
      </c>
    </row>
    <row r="461" spans="1:8">
      <c r="A461">
        <v>10462</v>
      </c>
      <c r="B461" s="1">
        <v>45868</v>
      </c>
      <c r="C461">
        <v>1550.75</v>
      </c>
      <c r="D461">
        <v>73</v>
      </c>
      <c r="E461" t="s">
        <v>49</v>
      </c>
      <c r="F461" t="s">
        <v>9</v>
      </c>
      <c r="G461" t="s">
        <v>16</v>
      </c>
      <c r="H461">
        <v>7</v>
      </c>
    </row>
    <row r="462" spans="1:8">
      <c r="A462">
        <v>10463</v>
      </c>
      <c r="B462" s="1">
        <v>45854</v>
      </c>
      <c r="C462">
        <v>2227.5</v>
      </c>
      <c r="D462">
        <v>39</v>
      </c>
      <c r="E462" t="s">
        <v>25</v>
      </c>
      <c r="F462" t="s">
        <v>9</v>
      </c>
      <c r="G462" t="s">
        <v>19</v>
      </c>
      <c r="H462">
        <v>7</v>
      </c>
    </row>
    <row r="463" spans="1:8">
      <c r="A463">
        <v>10464</v>
      </c>
      <c r="B463" s="1">
        <v>45840</v>
      </c>
      <c r="C463">
        <v>650.25</v>
      </c>
      <c r="D463">
        <v>67</v>
      </c>
      <c r="E463" t="s">
        <v>35</v>
      </c>
      <c r="F463" t="s">
        <v>9</v>
      </c>
      <c r="G463" t="s">
        <v>10</v>
      </c>
      <c r="H463">
        <v>7</v>
      </c>
    </row>
    <row r="464" spans="1:8">
      <c r="A464">
        <v>10465</v>
      </c>
      <c r="B464" s="1">
        <v>45855</v>
      </c>
      <c r="C464">
        <v>2693.5</v>
      </c>
      <c r="D464">
        <v>65</v>
      </c>
      <c r="E464" t="s">
        <v>69</v>
      </c>
      <c r="F464" t="s">
        <v>9</v>
      </c>
      <c r="G464" t="s">
        <v>19</v>
      </c>
      <c r="H464">
        <v>7</v>
      </c>
    </row>
    <row r="465" spans="1:8">
      <c r="A465">
        <v>10466</v>
      </c>
      <c r="B465" s="1">
        <v>45843</v>
      </c>
      <c r="C465">
        <v>15450</v>
      </c>
      <c r="D465">
        <v>11</v>
      </c>
      <c r="E465" t="s">
        <v>31</v>
      </c>
      <c r="F465" t="s">
        <v>18</v>
      </c>
      <c r="G465" t="s">
        <v>19</v>
      </c>
      <c r="H465">
        <v>7</v>
      </c>
    </row>
    <row r="466" spans="1:8">
      <c r="A466">
        <v>10467</v>
      </c>
      <c r="B466" s="1">
        <v>45846</v>
      </c>
      <c r="C466">
        <v>430.5</v>
      </c>
      <c r="D466">
        <v>58</v>
      </c>
      <c r="E466" t="s">
        <v>84</v>
      </c>
      <c r="F466" t="s">
        <v>9</v>
      </c>
      <c r="G466" t="s">
        <v>10</v>
      </c>
      <c r="H466">
        <v>7</v>
      </c>
    </row>
    <row r="467" spans="1:8">
      <c r="A467">
        <v>10468</v>
      </c>
      <c r="B467" s="1">
        <v>45847</v>
      </c>
      <c r="C467">
        <v>3934.5</v>
      </c>
      <c r="D467">
        <v>14</v>
      </c>
      <c r="E467" t="s">
        <v>42</v>
      </c>
      <c r="F467" t="s">
        <v>18</v>
      </c>
      <c r="G467" t="s">
        <v>10</v>
      </c>
      <c r="H467">
        <v>7</v>
      </c>
    </row>
    <row r="468" spans="1:8">
      <c r="A468">
        <v>10469</v>
      </c>
      <c r="B468" s="1">
        <v>45856</v>
      </c>
      <c r="C468">
        <v>16678.5</v>
      </c>
      <c r="D468">
        <v>5</v>
      </c>
      <c r="E468" t="s">
        <v>17</v>
      </c>
      <c r="F468" t="s">
        <v>18</v>
      </c>
      <c r="G468" t="s">
        <v>19</v>
      </c>
      <c r="H468">
        <v>7</v>
      </c>
    </row>
    <row r="469" spans="1:8">
      <c r="A469">
        <v>10470</v>
      </c>
      <c r="B469" s="1">
        <v>45849</v>
      </c>
      <c r="C469">
        <v>14292.5</v>
      </c>
      <c r="D469">
        <v>2</v>
      </c>
      <c r="E469" t="s">
        <v>46</v>
      </c>
      <c r="F469" t="s">
        <v>18</v>
      </c>
      <c r="G469" t="s">
        <v>10</v>
      </c>
      <c r="H469">
        <v>7</v>
      </c>
    </row>
    <row r="470" spans="1:8">
      <c r="A470">
        <v>10471</v>
      </c>
      <c r="B470" s="1">
        <v>45858</v>
      </c>
      <c r="C470">
        <v>1977.5</v>
      </c>
      <c r="D470">
        <v>53</v>
      </c>
      <c r="E470" t="s">
        <v>82</v>
      </c>
      <c r="F470" t="s">
        <v>9</v>
      </c>
      <c r="G470" t="s">
        <v>16</v>
      </c>
      <c r="H470">
        <v>7</v>
      </c>
    </row>
    <row r="471" spans="1:8">
      <c r="A471">
        <v>10472</v>
      </c>
      <c r="B471" s="1">
        <v>45850</v>
      </c>
      <c r="C471">
        <v>11024.25</v>
      </c>
      <c r="D471">
        <v>13</v>
      </c>
      <c r="E471" t="s">
        <v>50</v>
      </c>
      <c r="F471" t="s">
        <v>18</v>
      </c>
      <c r="G471" t="s">
        <v>12</v>
      </c>
      <c r="H471">
        <v>7</v>
      </c>
    </row>
    <row r="472" spans="1:8">
      <c r="A472">
        <v>10473</v>
      </c>
      <c r="B472" s="1">
        <v>45848</v>
      </c>
      <c r="C472">
        <v>264</v>
      </c>
      <c r="D472">
        <v>68</v>
      </c>
      <c r="E472" t="s">
        <v>81</v>
      </c>
      <c r="F472" t="s">
        <v>9</v>
      </c>
      <c r="G472" t="s">
        <v>57</v>
      </c>
      <c r="H472">
        <v>7</v>
      </c>
    </row>
    <row r="473" spans="1:8">
      <c r="A473">
        <v>10474</v>
      </c>
      <c r="B473" s="1">
        <v>45859</v>
      </c>
      <c r="C473">
        <v>2027.25</v>
      </c>
      <c r="D473">
        <v>54</v>
      </c>
      <c r="E473" t="s">
        <v>53</v>
      </c>
      <c r="F473" t="s">
        <v>9</v>
      </c>
      <c r="G473" t="s">
        <v>12</v>
      </c>
      <c r="H473">
        <v>7</v>
      </c>
    </row>
    <row r="474" spans="1:8">
      <c r="A474">
        <v>10475</v>
      </c>
      <c r="B474" s="1">
        <v>45841</v>
      </c>
      <c r="C474">
        <v>818.5</v>
      </c>
      <c r="D474">
        <v>53</v>
      </c>
      <c r="E474" t="s">
        <v>82</v>
      </c>
      <c r="F474" t="s">
        <v>9</v>
      </c>
      <c r="G474" t="s">
        <v>16</v>
      </c>
      <c r="H474">
        <v>7</v>
      </c>
    </row>
    <row r="475" spans="1:8">
      <c r="A475">
        <v>10476</v>
      </c>
      <c r="B475" s="1">
        <v>45861</v>
      </c>
      <c r="C475">
        <v>497.5</v>
      </c>
      <c r="D475">
        <v>58</v>
      </c>
      <c r="E475" t="s">
        <v>84</v>
      </c>
      <c r="F475" t="s">
        <v>9</v>
      </c>
      <c r="G475" t="s">
        <v>10</v>
      </c>
      <c r="H475">
        <v>7</v>
      </c>
    </row>
    <row r="476" spans="1:8">
      <c r="A476">
        <v>10477</v>
      </c>
      <c r="B476" s="1">
        <v>45865</v>
      </c>
      <c r="C476">
        <v>10929.5</v>
      </c>
      <c r="D476">
        <v>9</v>
      </c>
      <c r="E476" t="s">
        <v>56</v>
      </c>
      <c r="F476" t="s">
        <v>18</v>
      </c>
      <c r="G476" t="s">
        <v>57</v>
      </c>
      <c r="H476">
        <v>7</v>
      </c>
    </row>
    <row r="477" spans="1:8">
      <c r="A477">
        <v>10478</v>
      </c>
      <c r="B477" s="1">
        <v>45839</v>
      </c>
      <c r="C477">
        <v>8808.25</v>
      </c>
      <c r="D477">
        <v>22</v>
      </c>
      <c r="E477" t="s">
        <v>60</v>
      </c>
      <c r="F477" t="s">
        <v>18</v>
      </c>
      <c r="G477" t="s">
        <v>10</v>
      </c>
      <c r="H477">
        <v>7</v>
      </c>
    </row>
    <row r="478" spans="1:8">
      <c r="A478">
        <v>10479</v>
      </c>
      <c r="B478" s="1">
        <v>45869</v>
      </c>
      <c r="C478">
        <v>275.5</v>
      </c>
      <c r="D478">
        <v>37</v>
      </c>
      <c r="E478" t="s">
        <v>14</v>
      </c>
      <c r="F478" t="s">
        <v>9</v>
      </c>
      <c r="G478" t="s">
        <v>12</v>
      </c>
      <c r="H478">
        <v>7</v>
      </c>
    </row>
    <row r="479" spans="1:8">
      <c r="A479">
        <v>10480</v>
      </c>
      <c r="B479" s="1">
        <v>45850</v>
      </c>
      <c r="C479">
        <v>1184.75</v>
      </c>
      <c r="D479">
        <v>45</v>
      </c>
      <c r="E479" t="s">
        <v>62</v>
      </c>
      <c r="F479" t="s">
        <v>9</v>
      </c>
      <c r="G479" t="s">
        <v>10</v>
      </c>
      <c r="H479">
        <v>7</v>
      </c>
    </row>
    <row r="480" spans="1:8">
      <c r="A480">
        <v>10481</v>
      </c>
      <c r="B480" s="1">
        <v>45856</v>
      </c>
      <c r="C480">
        <v>2478.5</v>
      </c>
      <c r="D480">
        <v>48</v>
      </c>
      <c r="E480" t="s">
        <v>74</v>
      </c>
      <c r="F480" t="s">
        <v>9</v>
      </c>
      <c r="G480" t="s">
        <v>16</v>
      </c>
      <c r="H480">
        <v>7</v>
      </c>
    </row>
    <row r="481" spans="1:8">
      <c r="A481">
        <v>10482</v>
      </c>
      <c r="B481" s="1">
        <v>45861</v>
      </c>
      <c r="C481">
        <v>2531.25</v>
      </c>
      <c r="D481">
        <v>33</v>
      </c>
      <c r="E481" t="s">
        <v>20</v>
      </c>
      <c r="F481" t="s">
        <v>9</v>
      </c>
      <c r="G481" t="s">
        <v>10</v>
      </c>
      <c r="H481">
        <v>7</v>
      </c>
    </row>
    <row r="482" spans="1:8">
      <c r="A482">
        <v>10483</v>
      </c>
      <c r="B482" s="1">
        <v>45859</v>
      </c>
      <c r="C482">
        <v>346.5</v>
      </c>
      <c r="D482">
        <v>48</v>
      </c>
      <c r="E482" t="s">
        <v>74</v>
      </c>
      <c r="F482" t="s">
        <v>9</v>
      </c>
      <c r="G482" t="s">
        <v>16</v>
      </c>
      <c r="H482">
        <v>7</v>
      </c>
    </row>
    <row r="483" spans="1:8">
      <c r="A483">
        <v>10484</v>
      </c>
      <c r="B483" s="1">
        <v>45858</v>
      </c>
      <c r="C483">
        <v>3745.75</v>
      </c>
      <c r="D483">
        <v>8</v>
      </c>
      <c r="E483" t="s">
        <v>41</v>
      </c>
      <c r="F483" t="s">
        <v>18</v>
      </c>
      <c r="G483" t="s">
        <v>16</v>
      </c>
      <c r="H483">
        <v>7</v>
      </c>
    </row>
    <row r="484" spans="1:8">
      <c r="A484">
        <v>10485</v>
      </c>
      <c r="B484" s="1">
        <v>45843</v>
      </c>
      <c r="C484">
        <v>6373.5</v>
      </c>
      <c r="D484">
        <v>14</v>
      </c>
      <c r="E484" t="s">
        <v>42</v>
      </c>
      <c r="F484" t="s">
        <v>18</v>
      </c>
      <c r="G484" t="s">
        <v>10</v>
      </c>
      <c r="H484">
        <v>7</v>
      </c>
    </row>
    <row r="485" spans="1:8">
      <c r="A485">
        <v>10486</v>
      </c>
      <c r="B485" s="1">
        <v>45855</v>
      </c>
      <c r="C485">
        <v>1465.25</v>
      </c>
      <c r="D485">
        <v>48</v>
      </c>
      <c r="E485" t="s">
        <v>74</v>
      </c>
      <c r="F485" t="s">
        <v>9</v>
      </c>
      <c r="G485" t="s">
        <v>16</v>
      </c>
      <c r="H485">
        <v>7</v>
      </c>
    </row>
    <row r="486" spans="1:8">
      <c r="A486">
        <v>10487</v>
      </c>
      <c r="B486" s="1">
        <v>45839</v>
      </c>
      <c r="C486">
        <v>281.25</v>
      </c>
      <c r="D486">
        <v>55</v>
      </c>
      <c r="E486" t="s">
        <v>63</v>
      </c>
      <c r="F486" t="s">
        <v>9</v>
      </c>
      <c r="G486" t="s">
        <v>19</v>
      </c>
      <c r="H486">
        <v>7</v>
      </c>
    </row>
    <row r="487" spans="1:8">
      <c r="A487">
        <v>10488</v>
      </c>
      <c r="B487" s="1">
        <v>45858</v>
      </c>
      <c r="C487">
        <v>2489</v>
      </c>
      <c r="D487">
        <v>37</v>
      </c>
      <c r="E487" t="s">
        <v>14</v>
      </c>
      <c r="F487" t="s">
        <v>9</v>
      </c>
      <c r="G487" t="s">
        <v>12</v>
      </c>
      <c r="H487">
        <v>7</v>
      </c>
    </row>
    <row r="488" spans="1:8">
      <c r="A488">
        <v>10489</v>
      </c>
      <c r="B488" s="1">
        <v>45849</v>
      </c>
      <c r="C488">
        <v>2619</v>
      </c>
      <c r="D488">
        <v>24</v>
      </c>
      <c r="E488" t="s">
        <v>72</v>
      </c>
      <c r="F488" t="s">
        <v>18</v>
      </c>
      <c r="G488" t="s">
        <v>12</v>
      </c>
      <c r="H488">
        <v>7</v>
      </c>
    </row>
    <row r="489" spans="1:8">
      <c r="A489">
        <v>10490</v>
      </c>
      <c r="B489" s="1">
        <v>45855</v>
      </c>
      <c r="C489">
        <v>742.75</v>
      </c>
      <c r="D489">
        <v>53</v>
      </c>
      <c r="E489" t="s">
        <v>82</v>
      </c>
      <c r="F489" t="s">
        <v>9</v>
      </c>
      <c r="G489" t="s">
        <v>16</v>
      </c>
      <c r="H489">
        <v>7</v>
      </c>
    </row>
    <row r="490" spans="1:8">
      <c r="A490">
        <v>10491</v>
      </c>
      <c r="B490" s="1">
        <v>45859</v>
      </c>
      <c r="C490">
        <v>2705.5</v>
      </c>
      <c r="D490">
        <v>74</v>
      </c>
      <c r="E490" t="s">
        <v>32</v>
      </c>
      <c r="F490" t="s">
        <v>9</v>
      </c>
      <c r="G490" t="s">
        <v>16</v>
      </c>
      <c r="H490">
        <v>7</v>
      </c>
    </row>
    <row r="491" spans="1:8">
      <c r="A491">
        <v>10492</v>
      </c>
      <c r="B491" s="1">
        <v>45854</v>
      </c>
      <c r="C491">
        <v>14481.25</v>
      </c>
      <c r="D491">
        <v>24</v>
      </c>
      <c r="E491" t="s">
        <v>72</v>
      </c>
      <c r="F491" t="s">
        <v>18</v>
      </c>
      <c r="G491" t="s">
        <v>12</v>
      </c>
      <c r="H491">
        <v>7</v>
      </c>
    </row>
    <row r="492" spans="1:8">
      <c r="A492">
        <v>10493</v>
      </c>
      <c r="B492" s="1">
        <v>45857</v>
      </c>
      <c r="C492">
        <v>6822.75</v>
      </c>
      <c r="D492">
        <v>18</v>
      </c>
      <c r="E492" t="s">
        <v>71</v>
      </c>
      <c r="F492" t="s">
        <v>18</v>
      </c>
      <c r="G492" t="s">
        <v>10</v>
      </c>
      <c r="H492">
        <v>7</v>
      </c>
    </row>
    <row r="493" spans="1:8">
      <c r="A493">
        <v>10494</v>
      </c>
      <c r="B493" s="1">
        <v>45854</v>
      </c>
      <c r="C493">
        <v>2512.5</v>
      </c>
      <c r="D493">
        <v>35</v>
      </c>
      <c r="E493" t="s">
        <v>40</v>
      </c>
      <c r="F493" t="s">
        <v>9</v>
      </c>
      <c r="G493" t="s">
        <v>10</v>
      </c>
      <c r="H493">
        <v>7</v>
      </c>
    </row>
    <row r="494" spans="1:8">
      <c r="A494">
        <v>10495</v>
      </c>
      <c r="B494" s="1">
        <v>45852</v>
      </c>
      <c r="C494">
        <v>12017.5</v>
      </c>
      <c r="D494">
        <v>7</v>
      </c>
      <c r="E494" t="s">
        <v>66</v>
      </c>
      <c r="F494" t="s">
        <v>18</v>
      </c>
      <c r="G494" t="s">
        <v>10</v>
      </c>
      <c r="H494">
        <v>7</v>
      </c>
    </row>
    <row r="495" spans="1:8">
      <c r="A495">
        <v>10496</v>
      </c>
      <c r="B495" s="1">
        <v>45862</v>
      </c>
      <c r="C495">
        <v>11757.25</v>
      </c>
      <c r="D495">
        <v>23</v>
      </c>
      <c r="E495" t="s">
        <v>88</v>
      </c>
      <c r="F495" t="s">
        <v>18</v>
      </c>
      <c r="G495" t="s">
        <v>10</v>
      </c>
      <c r="H495">
        <v>7</v>
      </c>
    </row>
    <row r="496" spans="1:8">
      <c r="A496">
        <v>10497</v>
      </c>
      <c r="B496" s="1">
        <v>45864</v>
      </c>
      <c r="C496">
        <v>8353.5</v>
      </c>
      <c r="D496">
        <v>7</v>
      </c>
      <c r="E496" t="s">
        <v>66</v>
      </c>
      <c r="F496" t="s">
        <v>18</v>
      </c>
      <c r="G496" t="s">
        <v>10</v>
      </c>
      <c r="H496">
        <v>7</v>
      </c>
    </row>
    <row r="497" spans="1:8">
      <c r="A497">
        <v>10498</v>
      </c>
      <c r="B497" s="1">
        <v>45858</v>
      </c>
      <c r="C497">
        <v>874.75</v>
      </c>
      <c r="D497">
        <v>57</v>
      </c>
      <c r="E497" t="s">
        <v>11</v>
      </c>
      <c r="F497" t="s">
        <v>9</v>
      </c>
      <c r="G497" t="s">
        <v>12</v>
      </c>
      <c r="H497">
        <v>7</v>
      </c>
    </row>
    <row r="498" spans="1:8">
      <c r="A498">
        <v>10499</v>
      </c>
      <c r="B498" s="1">
        <v>45854</v>
      </c>
      <c r="C498">
        <v>2546.75</v>
      </c>
      <c r="D498">
        <v>64</v>
      </c>
      <c r="E498" t="s">
        <v>45</v>
      </c>
      <c r="F498" t="s">
        <v>9</v>
      </c>
      <c r="G498" t="s">
        <v>12</v>
      </c>
      <c r="H498">
        <v>7</v>
      </c>
    </row>
    <row r="499" spans="1:8">
      <c r="A499">
        <v>10500</v>
      </c>
      <c r="B499" s="1">
        <v>45850</v>
      </c>
      <c r="C499">
        <v>9969.25</v>
      </c>
      <c r="D499">
        <v>3</v>
      </c>
      <c r="E499" t="s">
        <v>27</v>
      </c>
      <c r="F499" t="s">
        <v>18</v>
      </c>
      <c r="G499" t="s">
        <v>12</v>
      </c>
      <c r="H499">
        <v>7</v>
      </c>
    </row>
    <row r="500" spans="1:8">
      <c r="A500">
        <v>10501</v>
      </c>
      <c r="B500" s="1">
        <v>45858</v>
      </c>
      <c r="C500">
        <v>686</v>
      </c>
      <c r="D500">
        <v>50</v>
      </c>
      <c r="E500" t="s">
        <v>22</v>
      </c>
      <c r="F500" t="s">
        <v>9</v>
      </c>
      <c r="G500" t="s">
        <v>16</v>
      </c>
      <c r="H500">
        <v>7</v>
      </c>
    </row>
    <row r="501" spans="1:8">
      <c r="A501">
        <v>10502</v>
      </c>
      <c r="B501" s="1">
        <v>45865</v>
      </c>
      <c r="C501">
        <v>12169.25</v>
      </c>
      <c r="D501">
        <v>9</v>
      </c>
      <c r="E501" t="s">
        <v>56</v>
      </c>
      <c r="F501" t="s">
        <v>18</v>
      </c>
      <c r="G501" t="s">
        <v>57</v>
      </c>
      <c r="H501">
        <v>7</v>
      </c>
    </row>
    <row r="502" spans="1:8">
      <c r="A502">
        <v>10503</v>
      </c>
      <c r="B502" s="1">
        <v>45842</v>
      </c>
      <c r="C502">
        <v>1257.75</v>
      </c>
      <c r="D502">
        <v>55</v>
      </c>
      <c r="E502" t="s">
        <v>63</v>
      </c>
      <c r="F502" t="s">
        <v>9</v>
      </c>
      <c r="G502" t="s">
        <v>19</v>
      </c>
      <c r="H502">
        <v>7</v>
      </c>
    </row>
    <row r="503" spans="1:8">
      <c r="A503">
        <v>10504</v>
      </c>
      <c r="B503" s="1">
        <v>45868</v>
      </c>
      <c r="C503">
        <v>10456</v>
      </c>
      <c r="D503">
        <v>15</v>
      </c>
      <c r="E503" t="s">
        <v>51</v>
      </c>
      <c r="F503" t="s">
        <v>18</v>
      </c>
      <c r="G503" t="s">
        <v>10</v>
      </c>
      <c r="H503">
        <v>7</v>
      </c>
    </row>
    <row r="504" spans="1:8">
      <c r="A504">
        <v>10505</v>
      </c>
      <c r="B504" s="1">
        <v>45841</v>
      </c>
      <c r="C504">
        <v>1736.25</v>
      </c>
      <c r="D504">
        <v>62</v>
      </c>
      <c r="E504" t="s">
        <v>28</v>
      </c>
      <c r="F504" t="s">
        <v>9</v>
      </c>
      <c r="G504" t="s">
        <v>10</v>
      </c>
      <c r="H504">
        <v>7</v>
      </c>
    </row>
    <row r="505" spans="1:8">
      <c r="A505">
        <v>10506</v>
      </c>
      <c r="B505" s="1">
        <v>45864</v>
      </c>
      <c r="C505">
        <v>5779.5</v>
      </c>
      <c r="D505">
        <v>13</v>
      </c>
      <c r="E505" t="s">
        <v>50</v>
      </c>
      <c r="F505" t="s">
        <v>18</v>
      </c>
      <c r="G505" t="s">
        <v>12</v>
      </c>
      <c r="H505">
        <v>7</v>
      </c>
    </row>
    <row r="506" spans="1:8">
      <c r="A506">
        <v>10507</v>
      </c>
      <c r="B506" s="1">
        <v>45849</v>
      </c>
      <c r="C506">
        <v>1734.25</v>
      </c>
      <c r="D506">
        <v>38</v>
      </c>
      <c r="E506" t="s">
        <v>52</v>
      </c>
      <c r="F506" t="s">
        <v>9</v>
      </c>
      <c r="G506" t="s">
        <v>19</v>
      </c>
      <c r="H506">
        <v>7</v>
      </c>
    </row>
    <row r="507" spans="1:8">
      <c r="A507">
        <v>10508</v>
      </c>
      <c r="B507" s="1">
        <v>45864</v>
      </c>
      <c r="C507">
        <v>7298</v>
      </c>
      <c r="D507">
        <v>13</v>
      </c>
      <c r="E507" t="s">
        <v>50</v>
      </c>
      <c r="F507" t="s">
        <v>18</v>
      </c>
      <c r="G507" t="s">
        <v>12</v>
      </c>
      <c r="H507">
        <v>7</v>
      </c>
    </row>
    <row r="508" spans="1:8">
      <c r="A508">
        <v>10509</v>
      </c>
      <c r="B508" s="1">
        <v>45849</v>
      </c>
      <c r="C508">
        <v>1306.25</v>
      </c>
      <c r="D508">
        <v>45</v>
      </c>
      <c r="E508" t="s">
        <v>62</v>
      </c>
      <c r="F508" t="s">
        <v>9</v>
      </c>
      <c r="G508" t="s">
        <v>10</v>
      </c>
      <c r="H508">
        <v>7</v>
      </c>
    </row>
    <row r="509" spans="1:8">
      <c r="A509">
        <v>10510</v>
      </c>
      <c r="B509" s="1">
        <v>45865</v>
      </c>
      <c r="C509">
        <v>12180</v>
      </c>
      <c r="D509">
        <v>9</v>
      </c>
      <c r="E509" t="s">
        <v>56</v>
      </c>
      <c r="F509" t="s">
        <v>18</v>
      </c>
      <c r="G509" t="s">
        <v>57</v>
      </c>
      <c r="H509">
        <v>7</v>
      </c>
    </row>
    <row r="510" spans="1:8">
      <c r="A510">
        <v>10511</v>
      </c>
      <c r="B510" s="1">
        <v>45885</v>
      </c>
      <c r="C510">
        <v>294.25</v>
      </c>
      <c r="D510">
        <v>61</v>
      </c>
      <c r="E510" t="s">
        <v>33</v>
      </c>
      <c r="F510" t="s">
        <v>9</v>
      </c>
      <c r="G510" t="s">
        <v>16</v>
      </c>
      <c r="H510">
        <v>8</v>
      </c>
    </row>
    <row r="511" spans="1:8">
      <c r="A511">
        <v>10512</v>
      </c>
      <c r="B511" s="1">
        <v>45880</v>
      </c>
      <c r="C511">
        <v>399.75</v>
      </c>
      <c r="D511">
        <v>52</v>
      </c>
      <c r="E511" t="s">
        <v>61</v>
      </c>
      <c r="F511" t="s">
        <v>9</v>
      </c>
      <c r="G511" t="s">
        <v>12</v>
      </c>
      <c r="H511">
        <v>8</v>
      </c>
    </row>
    <row r="512" spans="1:8">
      <c r="A512">
        <v>10513</v>
      </c>
      <c r="B512" s="1">
        <v>45890</v>
      </c>
      <c r="C512">
        <v>1288.5</v>
      </c>
      <c r="D512">
        <v>72</v>
      </c>
      <c r="E512" t="s">
        <v>76</v>
      </c>
      <c r="F512" t="s">
        <v>9</v>
      </c>
      <c r="G512" t="s">
        <v>12</v>
      </c>
      <c r="H512">
        <v>8</v>
      </c>
    </row>
    <row r="513" spans="1:8">
      <c r="A513">
        <v>10514</v>
      </c>
      <c r="B513" s="1">
        <v>45880</v>
      </c>
      <c r="C513">
        <v>2369.5</v>
      </c>
      <c r="D513">
        <v>43</v>
      </c>
      <c r="E513" t="s">
        <v>90</v>
      </c>
      <c r="F513" t="s">
        <v>9</v>
      </c>
      <c r="G513" t="s">
        <v>19</v>
      </c>
      <c r="H513">
        <v>8</v>
      </c>
    </row>
    <row r="514" spans="1:8">
      <c r="A514">
        <v>10515</v>
      </c>
      <c r="B514" s="1">
        <v>45886</v>
      </c>
      <c r="C514">
        <v>1114</v>
      </c>
      <c r="D514">
        <v>38</v>
      </c>
      <c r="E514" t="s">
        <v>52</v>
      </c>
      <c r="F514" t="s">
        <v>9</v>
      </c>
      <c r="G514" t="s">
        <v>19</v>
      </c>
      <c r="H514">
        <v>8</v>
      </c>
    </row>
    <row r="515" spans="1:8">
      <c r="A515">
        <v>10516</v>
      </c>
      <c r="B515" s="1">
        <v>45881</v>
      </c>
      <c r="C515">
        <v>2229.75</v>
      </c>
      <c r="D515">
        <v>67</v>
      </c>
      <c r="E515" t="s">
        <v>35</v>
      </c>
      <c r="F515" t="s">
        <v>9</v>
      </c>
      <c r="G515" t="s">
        <v>10</v>
      </c>
      <c r="H515">
        <v>8</v>
      </c>
    </row>
    <row r="516" spans="1:8">
      <c r="A516">
        <v>10517</v>
      </c>
      <c r="B516" s="1">
        <v>45875</v>
      </c>
      <c r="C516">
        <v>2389.75</v>
      </c>
      <c r="D516">
        <v>49</v>
      </c>
      <c r="E516" t="s">
        <v>29</v>
      </c>
      <c r="F516" t="s">
        <v>9</v>
      </c>
      <c r="G516" t="s">
        <v>19</v>
      </c>
      <c r="H516">
        <v>8</v>
      </c>
    </row>
    <row r="517" spans="1:8">
      <c r="A517">
        <v>10518</v>
      </c>
      <c r="B517" s="1">
        <v>45879</v>
      </c>
      <c r="C517">
        <v>2052</v>
      </c>
      <c r="D517">
        <v>12</v>
      </c>
      <c r="E517" t="s">
        <v>75</v>
      </c>
      <c r="F517" t="s">
        <v>18</v>
      </c>
      <c r="G517" t="s">
        <v>16</v>
      </c>
      <c r="H517">
        <v>8</v>
      </c>
    </row>
    <row r="518" spans="1:8">
      <c r="A518">
        <v>10519</v>
      </c>
      <c r="B518" s="1">
        <v>45897</v>
      </c>
      <c r="C518">
        <v>12973</v>
      </c>
      <c r="D518">
        <v>11</v>
      </c>
      <c r="E518" t="s">
        <v>31</v>
      </c>
      <c r="F518" t="s">
        <v>18</v>
      </c>
      <c r="G518" t="s">
        <v>19</v>
      </c>
      <c r="H518">
        <v>8</v>
      </c>
    </row>
    <row r="519" spans="1:8">
      <c r="A519">
        <v>10520</v>
      </c>
      <c r="B519" s="1">
        <v>45885</v>
      </c>
      <c r="C519">
        <v>10075</v>
      </c>
      <c r="D519">
        <v>13</v>
      </c>
      <c r="E519" t="s">
        <v>50</v>
      </c>
      <c r="F519" t="s">
        <v>18</v>
      </c>
      <c r="G519" t="s">
        <v>12</v>
      </c>
      <c r="H519">
        <v>8</v>
      </c>
    </row>
    <row r="520" spans="1:8">
      <c r="A520">
        <v>10521</v>
      </c>
      <c r="B520" s="1">
        <v>45871</v>
      </c>
      <c r="C520">
        <v>9360</v>
      </c>
      <c r="D520">
        <v>21</v>
      </c>
      <c r="E520" t="s">
        <v>37</v>
      </c>
      <c r="F520" t="s">
        <v>18</v>
      </c>
      <c r="G520" t="s">
        <v>16</v>
      </c>
      <c r="H520">
        <v>8</v>
      </c>
    </row>
    <row r="521" spans="1:8">
      <c r="A521">
        <v>10522</v>
      </c>
      <c r="B521" s="1">
        <v>45871</v>
      </c>
      <c r="C521">
        <v>13517.75</v>
      </c>
      <c r="D521">
        <v>17</v>
      </c>
      <c r="E521" t="s">
        <v>73</v>
      </c>
      <c r="F521" t="s">
        <v>18</v>
      </c>
      <c r="G521" t="s">
        <v>16</v>
      </c>
      <c r="H521">
        <v>8</v>
      </c>
    </row>
    <row r="522" spans="1:8">
      <c r="A522">
        <v>10523</v>
      </c>
      <c r="B522" s="1">
        <v>45886</v>
      </c>
      <c r="C522">
        <v>398.75</v>
      </c>
      <c r="D522">
        <v>38</v>
      </c>
      <c r="E522" t="s">
        <v>52</v>
      </c>
      <c r="F522" t="s">
        <v>9</v>
      </c>
      <c r="G522" t="s">
        <v>19</v>
      </c>
      <c r="H522">
        <v>8</v>
      </c>
    </row>
    <row r="523" spans="1:8">
      <c r="A523">
        <v>10524</v>
      </c>
      <c r="B523" s="1">
        <v>45881</v>
      </c>
      <c r="C523">
        <v>6836</v>
      </c>
      <c r="D523">
        <v>27</v>
      </c>
      <c r="E523" t="s">
        <v>34</v>
      </c>
      <c r="F523" t="s">
        <v>18</v>
      </c>
      <c r="G523" t="s">
        <v>19</v>
      </c>
      <c r="H523">
        <v>8</v>
      </c>
    </row>
    <row r="524" spans="1:8">
      <c r="A524">
        <v>10525</v>
      </c>
      <c r="B524" s="1">
        <v>45884</v>
      </c>
      <c r="C524">
        <v>1098.75</v>
      </c>
      <c r="D524">
        <v>56</v>
      </c>
      <c r="E524" t="s">
        <v>43</v>
      </c>
      <c r="F524" t="s">
        <v>9</v>
      </c>
      <c r="G524" t="s">
        <v>10</v>
      </c>
      <c r="H524">
        <v>8</v>
      </c>
    </row>
    <row r="525" spans="1:8">
      <c r="A525">
        <v>10526</v>
      </c>
      <c r="B525" s="1">
        <v>45894</v>
      </c>
      <c r="C525">
        <v>407.5</v>
      </c>
      <c r="D525">
        <v>42</v>
      </c>
      <c r="E525" t="s">
        <v>8</v>
      </c>
      <c r="F525" t="s">
        <v>9</v>
      </c>
      <c r="G525" t="s">
        <v>10</v>
      </c>
      <c r="H525">
        <v>8</v>
      </c>
    </row>
    <row r="526" spans="1:8">
      <c r="A526">
        <v>10527</v>
      </c>
      <c r="B526" s="1">
        <v>45896</v>
      </c>
      <c r="C526">
        <v>9534.25</v>
      </c>
      <c r="D526">
        <v>27</v>
      </c>
      <c r="E526" t="s">
        <v>34</v>
      </c>
      <c r="F526" t="s">
        <v>18</v>
      </c>
      <c r="G526" t="s">
        <v>19</v>
      </c>
      <c r="H526">
        <v>8</v>
      </c>
    </row>
    <row r="527" spans="1:8">
      <c r="A527">
        <v>10528</v>
      </c>
      <c r="B527" s="1">
        <v>45888</v>
      </c>
      <c r="C527">
        <v>1674</v>
      </c>
      <c r="D527">
        <v>42</v>
      </c>
      <c r="E527" t="s">
        <v>8</v>
      </c>
      <c r="F527" t="s">
        <v>9</v>
      </c>
      <c r="G527" t="s">
        <v>10</v>
      </c>
      <c r="H527">
        <v>8</v>
      </c>
    </row>
    <row r="528" spans="1:8">
      <c r="A528">
        <v>10529</v>
      </c>
      <c r="B528" s="1">
        <v>45883</v>
      </c>
      <c r="C528">
        <v>1529.25</v>
      </c>
      <c r="D528">
        <v>69</v>
      </c>
      <c r="E528" t="s">
        <v>44</v>
      </c>
      <c r="F528" t="s">
        <v>9</v>
      </c>
      <c r="G528" t="s">
        <v>19</v>
      </c>
      <c r="H528">
        <v>8</v>
      </c>
    </row>
    <row r="529" spans="1:8">
      <c r="A529">
        <v>10530</v>
      </c>
      <c r="B529" s="1">
        <v>45883</v>
      </c>
      <c r="C529">
        <v>1504</v>
      </c>
      <c r="D529">
        <v>48</v>
      </c>
      <c r="E529" t="s">
        <v>74</v>
      </c>
      <c r="F529" t="s">
        <v>9</v>
      </c>
      <c r="G529" t="s">
        <v>16</v>
      </c>
      <c r="H529">
        <v>8</v>
      </c>
    </row>
    <row r="530" spans="1:8">
      <c r="A530">
        <v>10531</v>
      </c>
      <c r="B530" s="1">
        <v>45878</v>
      </c>
      <c r="C530">
        <v>1365.25</v>
      </c>
      <c r="D530">
        <v>36</v>
      </c>
      <c r="E530" t="s">
        <v>83</v>
      </c>
      <c r="F530" t="s">
        <v>9</v>
      </c>
      <c r="G530" t="s">
        <v>16</v>
      </c>
      <c r="H530">
        <v>8</v>
      </c>
    </row>
    <row r="531" spans="1:8">
      <c r="A531">
        <v>10532</v>
      </c>
      <c r="B531" s="1">
        <v>45883</v>
      </c>
      <c r="C531">
        <v>1055.25</v>
      </c>
      <c r="D531">
        <v>37</v>
      </c>
      <c r="E531" t="s">
        <v>14</v>
      </c>
      <c r="F531" t="s">
        <v>9</v>
      </c>
      <c r="G531" t="s">
        <v>12</v>
      </c>
      <c r="H531">
        <v>8</v>
      </c>
    </row>
    <row r="532" spans="1:8">
      <c r="A532">
        <v>10533</v>
      </c>
      <c r="B532" s="1">
        <v>45879</v>
      </c>
      <c r="C532">
        <v>1682.5</v>
      </c>
      <c r="D532">
        <v>40</v>
      </c>
      <c r="E532" t="s">
        <v>58</v>
      </c>
      <c r="F532" t="s">
        <v>9</v>
      </c>
      <c r="G532" t="s">
        <v>19</v>
      </c>
      <c r="H532">
        <v>8</v>
      </c>
    </row>
    <row r="533" spans="1:8">
      <c r="A533">
        <v>10534</v>
      </c>
      <c r="B533" s="1">
        <v>45890</v>
      </c>
      <c r="C533">
        <v>7947</v>
      </c>
      <c r="D533">
        <v>13</v>
      </c>
      <c r="E533" t="s">
        <v>50</v>
      </c>
      <c r="F533" t="s">
        <v>18</v>
      </c>
      <c r="G533" t="s">
        <v>12</v>
      </c>
      <c r="H533">
        <v>8</v>
      </c>
    </row>
    <row r="534" spans="1:8">
      <c r="A534">
        <v>10535</v>
      </c>
      <c r="B534" s="1">
        <v>45892</v>
      </c>
      <c r="C534">
        <v>1767</v>
      </c>
      <c r="D534">
        <v>54</v>
      </c>
      <c r="E534" t="s">
        <v>53</v>
      </c>
      <c r="F534" t="s">
        <v>9</v>
      </c>
      <c r="G534" t="s">
        <v>12</v>
      </c>
      <c r="H534">
        <v>8</v>
      </c>
    </row>
    <row r="535" spans="1:8">
      <c r="A535">
        <v>10536</v>
      </c>
      <c r="B535" s="1">
        <v>45870</v>
      </c>
      <c r="C535">
        <v>558.25</v>
      </c>
      <c r="D535">
        <v>64</v>
      </c>
      <c r="E535" t="s">
        <v>45</v>
      </c>
      <c r="F535" t="s">
        <v>9</v>
      </c>
      <c r="G535" t="s">
        <v>12</v>
      </c>
      <c r="H535">
        <v>8</v>
      </c>
    </row>
    <row r="536" spans="1:8">
      <c r="A536">
        <v>10537</v>
      </c>
      <c r="B536" s="1">
        <v>45899</v>
      </c>
      <c r="C536">
        <v>1704.5</v>
      </c>
      <c r="D536">
        <v>73</v>
      </c>
      <c r="E536" t="s">
        <v>49</v>
      </c>
      <c r="F536" t="s">
        <v>9</v>
      </c>
      <c r="G536" t="s">
        <v>16</v>
      </c>
      <c r="H536">
        <v>8</v>
      </c>
    </row>
    <row r="537" spans="1:8">
      <c r="A537">
        <v>10538</v>
      </c>
      <c r="B537" s="1">
        <v>45900</v>
      </c>
      <c r="C537">
        <v>4120.25</v>
      </c>
      <c r="D537">
        <v>10</v>
      </c>
      <c r="E537" t="s">
        <v>64</v>
      </c>
      <c r="F537" t="s">
        <v>18</v>
      </c>
      <c r="G537" t="s">
        <v>19</v>
      </c>
      <c r="H537">
        <v>8</v>
      </c>
    </row>
    <row r="538" spans="1:8">
      <c r="A538">
        <v>10539</v>
      </c>
      <c r="B538" s="1">
        <v>45899</v>
      </c>
      <c r="C538">
        <v>1021.5</v>
      </c>
      <c r="D538">
        <v>46</v>
      </c>
      <c r="E538" t="s">
        <v>15</v>
      </c>
      <c r="F538" t="s">
        <v>9</v>
      </c>
      <c r="G538" t="s">
        <v>16</v>
      </c>
      <c r="H538">
        <v>8</v>
      </c>
    </row>
    <row r="539" spans="1:8">
      <c r="A539">
        <v>10540</v>
      </c>
      <c r="B539" s="1">
        <v>45881</v>
      </c>
      <c r="C539">
        <v>1125.75</v>
      </c>
      <c r="D539">
        <v>47</v>
      </c>
      <c r="E539" t="s">
        <v>68</v>
      </c>
      <c r="F539" t="s">
        <v>9</v>
      </c>
      <c r="G539" t="s">
        <v>19</v>
      </c>
      <c r="H539">
        <v>8</v>
      </c>
    </row>
    <row r="540" spans="1:8">
      <c r="A540">
        <v>10541</v>
      </c>
      <c r="B540" s="1">
        <v>45895</v>
      </c>
      <c r="C540">
        <v>1848</v>
      </c>
      <c r="D540">
        <v>34</v>
      </c>
      <c r="E540" t="s">
        <v>24</v>
      </c>
      <c r="F540" t="s">
        <v>9</v>
      </c>
      <c r="G540" t="s">
        <v>10</v>
      </c>
      <c r="H540">
        <v>8</v>
      </c>
    </row>
    <row r="541" spans="1:8">
      <c r="A541">
        <v>10542</v>
      </c>
      <c r="B541" s="1">
        <v>45891</v>
      </c>
      <c r="C541">
        <v>1202.25</v>
      </c>
      <c r="D541">
        <v>69</v>
      </c>
      <c r="E541" t="s">
        <v>44</v>
      </c>
      <c r="F541" t="s">
        <v>9</v>
      </c>
      <c r="G541" t="s">
        <v>19</v>
      </c>
      <c r="H541">
        <v>8</v>
      </c>
    </row>
    <row r="542" spans="1:8">
      <c r="A542">
        <v>10543</v>
      </c>
      <c r="B542" s="1">
        <v>45897</v>
      </c>
      <c r="C542">
        <v>1358</v>
      </c>
      <c r="D542">
        <v>45</v>
      </c>
      <c r="E542" t="s">
        <v>62</v>
      </c>
      <c r="F542" t="s">
        <v>9</v>
      </c>
      <c r="G542" t="s">
        <v>10</v>
      </c>
      <c r="H542">
        <v>8</v>
      </c>
    </row>
    <row r="543" spans="1:8">
      <c r="A543">
        <v>10544</v>
      </c>
      <c r="B543" s="1">
        <v>45890</v>
      </c>
      <c r="C543">
        <v>5366.75</v>
      </c>
      <c r="D543">
        <v>16</v>
      </c>
      <c r="E543" t="s">
        <v>21</v>
      </c>
      <c r="F543" t="s">
        <v>18</v>
      </c>
      <c r="G543" t="s">
        <v>10</v>
      </c>
      <c r="H543">
        <v>8</v>
      </c>
    </row>
    <row r="544" spans="1:8">
      <c r="A544">
        <v>10545</v>
      </c>
      <c r="B544" s="1">
        <v>45891</v>
      </c>
      <c r="C544">
        <v>2375.5</v>
      </c>
      <c r="D544">
        <v>75</v>
      </c>
      <c r="E544" t="s">
        <v>85</v>
      </c>
      <c r="F544" t="s">
        <v>9</v>
      </c>
      <c r="G544" t="s">
        <v>19</v>
      </c>
      <c r="H544">
        <v>8</v>
      </c>
    </row>
    <row r="545" spans="1:8">
      <c r="A545">
        <v>10546</v>
      </c>
      <c r="B545" s="1">
        <v>45883</v>
      </c>
      <c r="C545">
        <v>798</v>
      </c>
      <c r="D545">
        <v>75</v>
      </c>
      <c r="E545" t="s">
        <v>85</v>
      </c>
      <c r="F545" t="s">
        <v>9</v>
      </c>
      <c r="G545" t="s">
        <v>19</v>
      </c>
      <c r="H545">
        <v>8</v>
      </c>
    </row>
    <row r="546" spans="1:8">
      <c r="A546">
        <v>10547</v>
      </c>
      <c r="B546" s="1">
        <v>45875</v>
      </c>
      <c r="C546">
        <v>6584.5</v>
      </c>
      <c r="D546">
        <v>15</v>
      </c>
      <c r="E546" t="s">
        <v>51</v>
      </c>
      <c r="F546" t="s">
        <v>18</v>
      </c>
      <c r="G546" t="s">
        <v>10</v>
      </c>
      <c r="H546">
        <v>8</v>
      </c>
    </row>
    <row r="547" spans="1:8">
      <c r="A547">
        <v>10548</v>
      </c>
      <c r="B547" s="1">
        <v>45893</v>
      </c>
      <c r="C547">
        <v>2153</v>
      </c>
      <c r="D547">
        <v>36</v>
      </c>
      <c r="E547" t="s">
        <v>83</v>
      </c>
      <c r="F547" t="s">
        <v>9</v>
      </c>
      <c r="G547" t="s">
        <v>16</v>
      </c>
      <c r="H547">
        <v>8</v>
      </c>
    </row>
    <row r="548" spans="1:8">
      <c r="A548">
        <v>10549</v>
      </c>
      <c r="B548" s="1">
        <v>45893</v>
      </c>
      <c r="C548">
        <v>857.5</v>
      </c>
      <c r="D548">
        <v>35</v>
      </c>
      <c r="E548" t="s">
        <v>40</v>
      </c>
      <c r="F548" t="s">
        <v>9</v>
      </c>
      <c r="G548" t="s">
        <v>10</v>
      </c>
      <c r="H548">
        <v>8</v>
      </c>
    </row>
    <row r="549" spans="1:8">
      <c r="A549">
        <v>10550</v>
      </c>
      <c r="B549" s="1">
        <v>45892</v>
      </c>
      <c r="C549">
        <v>3782.25</v>
      </c>
      <c r="D549">
        <v>14</v>
      </c>
      <c r="E549" t="s">
        <v>42</v>
      </c>
      <c r="F549" t="s">
        <v>18</v>
      </c>
      <c r="G549" t="s">
        <v>10</v>
      </c>
      <c r="H549">
        <v>8</v>
      </c>
    </row>
    <row r="550" spans="1:8">
      <c r="A550">
        <v>10551</v>
      </c>
      <c r="B550" s="1">
        <v>45880</v>
      </c>
      <c r="C550">
        <v>867</v>
      </c>
      <c r="D550">
        <v>35</v>
      </c>
      <c r="E550" t="s">
        <v>40</v>
      </c>
      <c r="F550" t="s">
        <v>9</v>
      </c>
      <c r="G550" t="s">
        <v>10</v>
      </c>
      <c r="H550">
        <v>8</v>
      </c>
    </row>
    <row r="551" spans="1:8">
      <c r="A551">
        <v>10552</v>
      </c>
      <c r="B551" s="1">
        <v>45879</v>
      </c>
      <c r="C551">
        <v>5009</v>
      </c>
      <c r="D551">
        <v>3</v>
      </c>
      <c r="E551" t="s">
        <v>27</v>
      </c>
      <c r="F551" t="s">
        <v>18</v>
      </c>
      <c r="G551" t="s">
        <v>12</v>
      </c>
      <c r="H551">
        <v>8</v>
      </c>
    </row>
    <row r="552" spans="1:8">
      <c r="A552">
        <v>10553</v>
      </c>
      <c r="B552" s="1">
        <v>45889</v>
      </c>
      <c r="C552">
        <v>365.75</v>
      </c>
      <c r="D552">
        <v>41</v>
      </c>
      <c r="E552" t="s">
        <v>80</v>
      </c>
      <c r="F552" t="s">
        <v>9</v>
      </c>
      <c r="G552" t="s">
        <v>10</v>
      </c>
      <c r="H552">
        <v>8</v>
      </c>
    </row>
    <row r="553" spans="1:8">
      <c r="A553">
        <v>10554</v>
      </c>
      <c r="B553" s="1">
        <v>45888</v>
      </c>
      <c r="C553">
        <v>916.75</v>
      </c>
      <c r="D553">
        <v>35</v>
      </c>
      <c r="E553" t="s">
        <v>40</v>
      </c>
      <c r="F553" t="s">
        <v>9</v>
      </c>
      <c r="G553" t="s">
        <v>10</v>
      </c>
      <c r="H553">
        <v>8</v>
      </c>
    </row>
    <row r="554" spans="1:8">
      <c r="A554">
        <v>10555</v>
      </c>
      <c r="B554" s="1">
        <v>45872</v>
      </c>
      <c r="C554">
        <v>16834</v>
      </c>
      <c r="D554">
        <v>13</v>
      </c>
      <c r="E554" t="s">
        <v>50</v>
      </c>
      <c r="F554" t="s">
        <v>18</v>
      </c>
      <c r="G554" t="s">
        <v>12</v>
      </c>
      <c r="H554">
        <v>8</v>
      </c>
    </row>
    <row r="555" spans="1:8">
      <c r="A555">
        <v>10556</v>
      </c>
      <c r="B555" s="1">
        <v>45900</v>
      </c>
      <c r="C555">
        <v>2492.25</v>
      </c>
      <c r="D555">
        <v>37</v>
      </c>
      <c r="E555" t="s">
        <v>14</v>
      </c>
      <c r="F555" t="s">
        <v>9</v>
      </c>
      <c r="G555" t="s">
        <v>12</v>
      </c>
      <c r="H555">
        <v>8</v>
      </c>
    </row>
    <row r="556" spans="1:8">
      <c r="A556">
        <v>10557</v>
      </c>
      <c r="B556" s="1">
        <v>45870</v>
      </c>
      <c r="C556">
        <v>763</v>
      </c>
      <c r="D556">
        <v>33</v>
      </c>
      <c r="E556" t="s">
        <v>20</v>
      </c>
      <c r="F556" t="s">
        <v>9</v>
      </c>
      <c r="G556" t="s">
        <v>10</v>
      </c>
      <c r="H556">
        <v>8</v>
      </c>
    </row>
    <row r="557" spans="1:8">
      <c r="A557">
        <v>10558</v>
      </c>
      <c r="B557" s="1">
        <v>45875</v>
      </c>
      <c r="C557">
        <v>2449</v>
      </c>
      <c r="D557">
        <v>62</v>
      </c>
      <c r="E557" t="s">
        <v>28</v>
      </c>
      <c r="F557" t="s">
        <v>9</v>
      </c>
      <c r="G557" t="s">
        <v>10</v>
      </c>
      <c r="H557">
        <v>8</v>
      </c>
    </row>
    <row r="558" spans="1:8">
      <c r="A558">
        <v>10559</v>
      </c>
      <c r="B558" s="1">
        <v>45874</v>
      </c>
      <c r="C558">
        <v>1183.25</v>
      </c>
      <c r="D558">
        <v>40</v>
      </c>
      <c r="E558" t="s">
        <v>58</v>
      </c>
      <c r="F558" t="s">
        <v>9</v>
      </c>
      <c r="G558" t="s">
        <v>19</v>
      </c>
      <c r="H558">
        <v>8</v>
      </c>
    </row>
    <row r="559" spans="1:8">
      <c r="A559">
        <v>10560</v>
      </c>
      <c r="B559" s="1">
        <v>45897</v>
      </c>
      <c r="C559">
        <v>11819.5</v>
      </c>
      <c r="D559">
        <v>15</v>
      </c>
      <c r="E559" t="s">
        <v>51</v>
      </c>
      <c r="F559" t="s">
        <v>18</v>
      </c>
      <c r="G559" t="s">
        <v>10</v>
      </c>
      <c r="H559">
        <v>8</v>
      </c>
    </row>
    <row r="560" spans="1:8">
      <c r="A560">
        <v>10561</v>
      </c>
      <c r="B560" s="1">
        <v>45875</v>
      </c>
      <c r="C560">
        <v>1017</v>
      </c>
      <c r="D560">
        <v>74</v>
      </c>
      <c r="E560" t="s">
        <v>32</v>
      </c>
      <c r="F560" t="s">
        <v>9</v>
      </c>
      <c r="G560" t="s">
        <v>16</v>
      </c>
      <c r="H560">
        <v>8</v>
      </c>
    </row>
    <row r="561" spans="1:8">
      <c r="A561">
        <v>10562</v>
      </c>
      <c r="B561" s="1">
        <v>45870</v>
      </c>
      <c r="C561">
        <v>16810</v>
      </c>
      <c r="D561">
        <v>20</v>
      </c>
      <c r="E561" t="s">
        <v>30</v>
      </c>
      <c r="F561" t="s">
        <v>18</v>
      </c>
      <c r="G561" t="s">
        <v>10</v>
      </c>
      <c r="H561">
        <v>8</v>
      </c>
    </row>
    <row r="562" spans="1:8">
      <c r="A562">
        <v>10563</v>
      </c>
      <c r="B562" s="1">
        <v>45886</v>
      </c>
      <c r="C562">
        <v>2612</v>
      </c>
      <c r="D562">
        <v>76</v>
      </c>
      <c r="E562" t="s">
        <v>13</v>
      </c>
      <c r="F562" t="s">
        <v>9</v>
      </c>
      <c r="G562" t="s">
        <v>12</v>
      </c>
      <c r="H562">
        <v>8</v>
      </c>
    </row>
    <row r="563" spans="1:8">
      <c r="A563">
        <v>10564</v>
      </c>
      <c r="B563" s="1">
        <v>45893</v>
      </c>
      <c r="C563">
        <v>10055.5</v>
      </c>
      <c r="D563">
        <v>6</v>
      </c>
      <c r="E563" t="s">
        <v>48</v>
      </c>
      <c r="F563" t="s">
        <v>18</v>
      </c>
      <c r="G563" t="s">
        <v>19</v>
      </c>
      <c r="H563">
        <v>8</v>
      </c>
    </row>
    <row r="564" spans="1:8">
      <c r="A564">
        <v>10565</v>
      </c>
      <c r="B564" s="1">
        <v>45894</v>
      </c>
      <c r="C564">
        <v>1972</v>
      </c>
      <c r="D564">
        <v>35</v>
      </c>
      <c r="E564" t="s">
        <v>40</v>
      </c>
      <c r="F564" t="s">
        <v>9</v>
      </c>
      <c r="G564" t="s">
        <v>10</v>
      </c>
      <c r="H564">
        <v>8</v>
      </c>
    </row>
    <row r="565" spans="1:8">
      <c r="A565">
        <v>10566</v>
      </c>
      <c r="B565" s="1">
        <v>45870</v>
      </c>
      <c r="C565">
        <v>1652</v>
      </c>
      <c r="D565">
        <v>46</v>
      </c>
      <c r="E565" t="s">
        <v>15</v>
      </c>
      <c r="F565" t="s">
        <v>9</v>
      </c>
      <c r="G565" t="s">
        <v>16</v>
      </c>
      <c r="H565">
        <v>8</v>
      </c>
    </row>
    <row r="566" spans="1:8">
      <c r="A566">
        <v>10567</v>
      </c>
      <c r="B566" s="1">
        <v>45884</v>
      </c>
      <c r="C566">
        <v>7211.25</v>
      </c>
      <c r="D566">
        <v>16</v>
      </c>
      <c r="E566" t="s">
        <v>21</v>
      </c>
      <c r="F566" t="s">
        <v>18</v>
      </c>
      <c r="G566" t="s">
        <v>10</v>
      </c>
      <c r="H566">
        <v>8</v>
      </c>
    </row>
    <row r="567" spans="1:8">
      <c r="A567">
        <v>10568</v>
      </c>
      <c r="B567" s="1">
        <v>45887</v>
      </c>
      <c r="C567">
        <v>11467</v>
      </c>
      <c r="D567">
        <v>27</v>
      </c>
      <c r="E567" t="s">
        <v>34</v>
      </c>
      <c r="F567" t="s">
        <v>18</v>
      </c>
      <c r="G567" t="s">
        <v>19</v>
      </c>
      <c r="H567">
        <v>8</v>
      </c>
    </row>
    <row r="568" spans="1:8">
      <c r="A568">
        <v>10569</v>
      </c>
      <c r="B568" s="1">
        <v>45888</v>
      </c>
      <c r="C568">
        <v>1582.75</v>
      </c>
      <c r="D568">
        <v>40</v>
      </c>
      <c r="E568" t="s">
        <v>58</v>
      </c>
      <c r="F568" t="s">
        <v>9</v>
      </c>
      <c r="G568" t="s">
        <v>19</v>
      </c>
      <c r="H568">
        <v>8</v>
      </c>
    </row>
    <row r="569" spans="1:8">
      <c r="A569">
        <v>10570</v>
      </c>
      <c r="B569" s="1">
        <v>45894</v>
      </c>
      <c r="C569">
        <v>1360</v>
      </c>
      <c r="D569">
        <v>74</v>
      </c>
      <c r="E569" t="s">
        <v>32</v>
      </c>
      <c r="F569" t="s">
        <v>9</v>
      </c>
      <c r="G569" t="s">
        <v>16</v>
      </c>
      <c r="H569">
        <v>8</v>
      </c>
    </row>
    <row r="570" spans="1:8">
      <c r="A570">
        <v>10571</v>
      </c>
      <c r="B570" s="1">
        <v>45878</v>
      </c>
      <c r="C570">
        <v>2094.75</v>
      </c>
      <c r="D570">
        <v>37</v>
      </c>
      <c r="E570" t="s">
        <v>14</v>
      </c>
      <c r="F570" t="s">
        <v>9</v>
      </c>
      <c r="G570" t="s">
        <v>12</v>
      </c>
      <c r="H570">
        <v>8</v>
      </c>
    </row>
    <row r="571" spans="1:8">
      <c r="A571">
        <v>10572</v>
      </c>
      <c r="B571" s="1">
        <v>45879</v>
      </c>
      <c r="C571">
        <v>17978.75</v>
      </c>
      <c r="D571">
        <v>3</v>
      </c>
      <c r="E571" t="s">
        <v>27</v>
      </c>
      <c r="F571" t="s">
        <v>18</v>
      </c>
      <c r="G571" t="s">
        <v>12</v>
      </c>
      <c r="H571">
        <v>8</v>
      </c>
    </row>
    <row r="572" spans="1:8">
      <c r="A572">
        <v>10573</v>
      </c>
      <c r="B572" s="1">
        <v>45881</v>
      </c>
      <c r="C572">
        <v>305.25</v>
      </c>
      <c r="D572">
        <v>74</v>
      </c>
      <c r="E572" t="s">
        <v>32</v>
      </c>
      <c r="F572" t="s">
        <v>9</v>
      </c>
      <c r="G572" t="s">
        <v>16</v>
      </c>
      <c r="H572">
        <v>8</v>
      </c>
    </row>
    <row r="573" spans="1:8">
      <c r="A573">
        <v>10574</v>
      </c>
      <c r="B573" s="1">
        <v>45881</v>
      </c>
      <c r="C573">
        <v>1808.25</v>
      </c>
      <c r="D573">
        <v>42</v>
      </c>
      <c r="E573" t="s">
        <v>8</v>
      </c>
      <c r="F573" t="s">
        <v>9</v>
      </c>
      <c r="G573" t="s">
        <v>10</v>
      </c>
      <c r="H573">
        <v>8</v>
      </c>
    </row>
    <row r="574" spans="1:8">
      <c r="A574">
        <v>10575</v>
      </c>
      <c r="B574" s="1">
        <v>45885</v>
      </c>
      <c r="C574">
        <v>9368.75</v>
      </c>
      <c r="D574">
        <v>15</v>
      </c>
      <c r="E574" t="s">
        <v>51</v>
      </c>
      <c r="F574" t="s">
        <v>18</v>
      </c>
      <c r="G574" t="s">
        <v>10</v>
      </c>
      <c r="H574">
        <v>8</v>
      </c>
    </row>
    <row r="575" spans="1:8">
      <c r="A575">
        <v>10576</v>
      </c>
      <c r="B575" s="1">
        <v>45895</v>
      </c>
      <c r="C575">
        <v>1795.75</v>
      </c>
      <c r="D575">
        <v>58</v>
      </c>
      <c r="E575" t="s">
        <v>84</v>
      </c>
      <c r="F575" t="s">
        <v>9</v>
      </c>
      <c r="G575" t="s">
        <v>10</v>
      </c>
      <c r="H575">
        <v>8</v>
      </c>
    </row>
    <row r="576" spans="1:8">
      <c r="A576">
        <v>10577</v>
      </c>
      <c r="B576" s="1">
        <v>45893</v>
      </c>
      <c r="C576">
        <v>280.75</v>
      </c>
      <c r="D576">
        <v>38</v>
      </c>
      <c r="E576" t="s">
        <v>52</v>
      </c>
      <c r="F576" t="s">
        <v>9</v>
      </c>
      <c r="G576" t="s">
        <v>19</v>
      </c>
      <c r="H576">
        <v>8</v>
      </c>
    </row>
    <row r="577" spans="1:8">
      <c r="A577">
        <v>10578</v>
      </c>
      <c r="B577" s="1">
        <v>45900</v>
      </c>
      <c r="C577">
        <v>307.5</v>
      </c>
      <c r="D577">
        <v>60</v>
      </c>
      <c r="E577" t="s">
        <v>89</v>
      </c>
      <c r="F577" t="s">
        <v>9</v>
      </c>
      <c r="G577" t="s">
        <v>10</v>
      </c>
      <c r="H577">
        <v>8</v>
      </c>
    </row>
    <row r="578" spans="1:8">
      <c r="A578">
        <v>10579</v>
      </c>
      <c r="B578" s="1">
        <v>45871</v>
      </c>
      <c r="C578">
        <v>718</v>
      </c>
      <c r="D578">
        <v>60</v>
      </c>
      <c r="E578" t="s">
        <v>89</v>
      </c>
      <c r="F578" t="s">
        <v>9</v>
      </c>
      <c r="G578" t="s">
        <v>10</v>
      </c>
      <c r="H578">
        <v>8</v>
      </c>
    </row>
    <row r="579" spans="1:8">
      <c r="A579">
        <v>10580</v>
      </c>
      <c r="B579" s="1">
        <v>45872</v>
      </c>
      <c r="C579">
        <v>1121</v>
      </c>
      <c r="D579">
        <v>55</v>
      </c>
      <c r="E579" t="s">
        <v>63</v>
      </c>
      <c r="F579" t="s">
        <v>9</v>
      </c>
      <c r="G579" t="s">
        <v>19</v>
      </c>
      <c r="H579">
        <v>8</v>
      </c>
    </row>
    <row r="580" spans="1:8">
      <c r="A580">
        <v>10581</v>
      </c>
      <c r="B580" s="1">
        <v>45905</v>
      </c>
      <c r="C580">
        <v>323.5</v>
      </c>
      <c r="D580">
        <v>73</v>
      </c>
      <c r="E580" t="s">
        <v>49</v>
      </c>
      <c r="F580" t="s">
        <v>9</v>
      </c>
      <c r="G580" t="s">
        <v>16</v>
      </c>
      <c r="H580">
        <v>9</v>
      </c>
    </row>
    <row r="581" spans="1:8">
      <c r="A581">
        <v>10582</v>
      </c>
      <c r="B581" s="1">
        <v>45929</v>
      </c>
      <c r="C581">
        <v>6573.5</v>
      </c>
      <c r="D581">
        <v>27</v>
      </c>
      <c r="E581" t="s">
        <v>34</v>
      </c>
      <c r="F581" t="s">
        <v>18</v>
      </c>
      <c r="G581" t="s">
        <v>19</v>
      </c>
      <c r="H581">
        <v>9</v>
      </c>
    </row>
    <row r="582" spans="1:8">
      <c r="A582">
        <v>10583</v>
      </c>
      <c r="B582" s="1">
        <v>45929</v>
      </c>
      <c r="C582">
        <v>782.75</v>
      </c>
      <c r="D582">
        <v>69</v>
      </c>
      <c r="E582" t="s">
        <v>44</v>
      </c>
      <c r="F582" t="s">
        <v>9</v>
      </c>
      <c r="G582" t="s">
        <v>19</v>
      </c>
      <c r="H582">
        <v>9</v>
      </c>
    </row>
    <row r="583" spans="1:8">
      <c r="A583">
        <v>10584</v>
      </c>
      <c r="B583" s="1">
        <v>45930</v>
      </c>
      <c r="C583">
        <v>3835.5</v>
      </c>
      <c r="D583">
        <v>8</v>
      </c>
      <c r="E583" t="s">
        <v>41</v>
      </c>
      <c r="F583" t="s">
        <v>18</v>
      </c>
      <c r="G583" t="s">
        <v>16</v>
      </c>
      <c r="H583">
        <v>9</v>
      </c>
    </row>
    <row r="584" spans="1:8">
      <c r="A584">
        <v>10585</v>
      </c>
      <c r="B584" s="1">
        <v>45925</v>
      </c>
      <c r="C584">
        <v>2124.75</v>
      </c>
      <c r="D584">
        <v>45</v>
      </c>
      <c r="E584" t="s">
        <v>62</v>
      </c>
      <c r="F584" t="s">
        <v>9</v>
      </c>
      <c r="G584" t="s">
        <v>10</v>
      </c>
      <c r="H584">
        <v>9</v>
      </c>
    </row>
    <row r="585" spans="1:8">
      <c r="A585">
        <v>10586</v>
      </c>
      <c r="B585" s="1">
        <v>45930</v>
      </c>
      <c r="C585">
        <v>4013.75</v>
      </c>
      <c r="D585">
        <v>30</v>
      </c>
      <c r="E585" t="s">
        <v>70</v>
      </c>
      <c r="F585" t="s">
        <v>18</v>
      </c>
      <c r="G585" t="s">
        <v>10</v>
      </c>
      <c r="H585">
        <v>9</v>
      </c>
    </row>
    <row r="586" spans="1:8">
      <c r="A586">
        <v>10587</v>
      </c>
      <c r="B586" s="1">
        <v>45920</v>
      </c>
      <c r="C586">
        <v>16362.75</v>
      </c>
      <c r="D586">
        <v>5</v>
      </c>
      <c r="E586" t="s">
        <v>17</v>
      </c>
      <c r="F586" t="s">
        <v>18</v>
      </c>
      <c r="G586" t="s">
        <v>19</v>
      </c>
      <c r="H586">
        <v>9</v>
      </c>
    </row>
    <row r="587" spans="1:8">
      <c r="A587">
        <v>10588</v>
      </c>
      <c r="B587" s="1">
        <v>45911</v>
      </c>
      <c r="C587">
        <v>10856.5</v>
      </c>
      <c r="D587">
        <v>20</v>
      </c>
      <c r="E587" t="s">
        <v>30</v>
      </c>
      <c r="F587" t="s">
        <v>18</v>
      </c>
      <c r="G587" t="s">
        <v>10</v>
      </c>
      <c r="H587">
        <v>9</v>
      </c>
    </row>
    <row r="588" spans="1:8">
      <c r="A588">
        <v>10589</v>
      </c>
      <c r="B588" s="1">
        <v>45914</v>
      </c>
      <c r="C588">
        <v>2284.5</v>
      </c>
      <c r="D588">
        <v>33</v>
      </c>
      <c r="E588" t="s">
        <v>20</v>
      </c>
      <c r="F588" t="s">
        <v>9</v>
      </c>
      <c r="G588" t="s">
        <v>10</v>
      </c>
      <c r="H588">
        <v>9</v>
      </c>
    </row>
    <row r="589" spans="1:8">
      <c r="A589">
        <v>10590</v>
      </c>
      <c r="B589" s="1">
        <v>45924</v>
      </c>
      <c r="C589">
        <v>2613.25</v>
      </c>
      <c r="D589">
        <v>10</v>
      </c>
      <c r="E589" t="s">
        <v>64</v>
      </c>
      <c r="F589" t="s">
        <v>18</v>
      </c>
      <c r="G589" t="s">
        <v>19</v>
      </c>
      <c r="H589">
        <v>9</v>
      </c>
    </row>
    <row r="590" spans="1:8">
      <c r="A590">
        <v>10591</v>
      </c>
      <c r="B590" s="1">
        <v>45901</v>
      </c>
      <c r="C590">
        <v>15415.75</v>
      </c>
      <c r="D590">
        <v>13</v>
      </c>
      <c r="E590" t="s">
        <v>50</v>
      </c>
      <c r="F590" t="s">
        <v>18</v>
      </c>
      <c r="G590" t="s">
        <v>12</v>
      </c>
      <c r="H590">
        <v>9</v>
      </c>
    </row>
    <row r="591" spans="1:8">
      <c r="A591">
        <v>10592</v>
      </c>
      <c r="B591" s="1">
        <v>45930</v>
      </c>
      <c r="C591">
        <v>5961.75</v>
      </c>
      <c r="D591">
        <v>2</v>
      </c>
      <c r="E591" t="s">
        <v>46</v>
      </c>
      <c r="F591" t="s">
        <v>18</v>
      </c>
      <c r="G591" t="s">
        <v>10</v>
      </c>
      <c r="H591">
        <v>9</v>
      </c>
    </row>
    <row r="592" spans="1:8">
      <c r="A592">
        <v>10593</v>
      </c>
      <c r="B592" s="1">
        <v>45903</v>
      </c>
      <c r="C592">
        <v>9634.5</v>
      </c>
      <c r="D592">
        <v>23</v>
      </c>
      <c r="E592" t="s">
        <v>88</v>
      </c>
      <c r="F592" t="s">
        <v>18</v>
      </c>
      <c r="G592" t="s">
        <v>10</v>
      </c>
      <c r="H592">
        <v>9</v>
      </c>
    </row>
    <row r="593" spans="1:8">
      <c r="A593">
        <v>10594</v>
      </c>
      <c r="B593" s="1">
        <v>45908</v>
      </c>
      <c r="C593">
        <v>13167.5</v>
      </c>
      <c r="D593">
        <v>29</v>
      </c>
      <c r="E593" t="s">
        <v>23</v>
      </c>
      <c r="F593" t="s">
        <v>18</v>
      </c>
      <c r="G593" t="s">
        <v>10</v>
      </c>
      <c r="H593">
        <v>9</v>
      </c>
    </row>
    <row r="594" spans="1:8">
      <c r="A594">
        <v>10595</v>
      </c>
      <c r="B594" s="1">
        <v>45915</v>
      </c>
      <c r="C594">
        <v>648.5</v>
      </c>
      <c r="D594">
        <v>34</v>
      </c>
      <c r="E594" t="s">
        <v>24</v>
      </c>
      <c r="F594" t="s">
        <v>9</v>
      </c>
      <c r="G594" t="s">
        <v>10</v>
      </c>
      <c r="H594">
        <v>9</v>
      </c>
    </row>
    <row r="595" spans="1:8">
      <c r="A595">
        <v>10596</v>
      </c>
      <c r="B595" s="1">
        <v>45928</v>
      </c>
      <c r="C595">
        <v>1664.5</v>
      </c>
      <c r="D595">
        <v>59</v>
      </c>
      <c r="E595" t="s">
        <v>86</v>
      </c>
      <c r="F595" t="s">
        <v>9</v>
      </c>
      <c r="G595" t="s">
        <v>16</v>
      </c>
      <c r="H595">
        <v>9</v>
      </c>
    </row>
    <row r="596" spans="1:8">
      <c r="A596">
        <v>10597</v>
      </c>
      <c r="B596" s="1">
        <v>45917</v>
      </c>
      <c r="C596">
        <v>3138.5</v>
      </c>
      <c r="D596">
        <v>9</v>
      </c>
      <c r="E596" t="s">
        <v>56</v>
      </c>
      <c r="F596" t="s">
        <v>18</v>
      </c>
      <c r="G596" t="s">
        <v>57</v>
      </c>
      <c r="H596">
        <v>9</v>
      </c>
    </row>
    <row r="597" spans="1:8">
      <c r="A597">
        <v>10598</v>
      </c>
      <c r="B597" s="1">
        <v>45902</v>
      </c>
      <c r="C597">
        <v>683.75</v>
      </c>
      <c r="D597">
        <v>74</v>
      </c>
      <c r="E597" t="s">
        <v>32</v>
      </c>
      <c r="F597" t="s">
        <v>9</v>
      </c>
      <c r="G597" t="s">
        <v>16</v>
      </c>
      <c r="H597">
        <v>9</v>
      </c>
    </row>
    <row r="598" spans="1:8">
      <c r="A598">
        <v>10599</v>
      </c>
      <c r="B598" s="1">
        <v>45923</v>
      </c>
      <c r="C598">
        <v>3237.25</v>
      </c>
      <c r="D598">
        <v>20</v>
      </c>
      <c r="E598" t="s">
        <v>30</v>
      </c>
      <c r="F598" t="s">
        <v>18</v>
      </c>
      <c r="G598" t="s">
        <v>10</v>
      </c>
      <c r="H598">
        <v>9</v>
      </c>
    </row>
    <row r="599" spans="1:8">
      <c r="A599">
        <v>10600</v>
      </c>
      <c r="B599" s="1">
        <v>45912</v>
      </c>
      <c r="C599">
        <v>15806.75</v>
      </c>
      <c r="D599">
        <v>27</v>
      </c>
      <c r="E599" t="s">
        <v>34</v>
      </c>
      <c r="F599" t="s">
        <v>18</v>
      </c>
      <c r="G599" t="s">
        <v>19</v>
      </c>
      <c r="H599">
        <v>9</v>
      </c>
    </row>
    <row r="600" spans="1:8">
      <c r="A600">
        <v>10601</v>
      </c>
      <c r="B600" s="1">
        <v>45910</v>
      </c>
      <c r="C600">
        <v>11241</v>
      </c>
      <c r="D600">
        <v>14</v>
      </c>
      <c r="E600" t="s">
        <v>42</v>
      </c>
      <c r="F600" t="s">
        <v>18</v>
      </c>
      <c r="G600" t="s">
        <v>10</v>
      </c>
      <c r="H600">
        <v>9</v>
      </c>
    </row>
    <row r="601" spans="1:8">
      <c r="A601">
        <v>10602</v>
      </c>
      <c r="B601" s="1">
        <v>45912</v>
      </c>
      <c r="C601">
        <v>4808.75</v>
      </c>
      <c r="D601">
        <v>7</v>
      </c>
      <c r="E601" t="s">
        <v>66</v>
      </c>
      <c r="F601" t="s">
        <v>18</v>
      </c>
      <c r="G601" t="s">
        <v>10</v>
      </c>
      <c r="H601">
        <v>9</v>
      </c>
    </row>
    <row r="602" spans="1:8">
      <c r="A602">
        <v>10603</v>
      </c>
      <c r="B602" s="1">
        <v>45921</v>
      </c>
      <c r="C602">
        <v>1250.75</v>
      </c>
      <c r="D602">
        <v>35</v>
      </c>
      <c r="E602" t="s">
        <v>40</v>
      </c>
      <c r="F602" t="s">
        <v>9</v>
      </c>
      <c r="G602" t="s">
        <v>10</v>
      </c>
      <c r="H602">
        <v>9</v>
      </c>
    </row>
    <row r="603" spans="1:8">
      <c r="A603">
        <v>10604</v>
      </c>
      <c r="B603" s="1">
        <v>45922</v>
      </c>
      <c r="C603">
        <v>16928</v>
      </c>
      <c r="D603">
        <v>5</v>
      </c>
      <c r="E603" t="s">
        <v>17</v>
      </c>
      <c r="F603" t="s">
        <v>18</v>
      </c>
      <c r="G603" t="s">
        <v>19</v>
      </c>
      <c r="H603">
        <v>9</v>
      </c>
    </row>
    <row r="604" spans="1:8">
      <c r="A604">
        <v>10605</v>
      </c>
      <c r="B604" s="1">
        <v>45902</v>
      </c>
      <c r="C604">
        <v>2269.25</v>
      </c>
      <c r="D604">
        <v>58</v>
      </c>
      <c r="E604" t="s">
        <v>84</v>
      </c>
      <c r="F604" t="s">
        <v>9</v>
      </c>
      <c r="G604" t="s">
        <v>10</v>
      </c>
      <c r="H604">
        <v>9</v>
      </c>
    </row>
    <row r="605" spans="1:8">
      <c r="A605">
        <v>10606</v>
      </c>
      <c r="B605" s="1">
        <v>45930</v>
      </c>
      <c r="C605">
        <v>2004.75</v>
      </c>
      <c r="D605">
        <v>40</v>
      </c>
      <c r="E605" t="s">
        <v>58</v>
      </c>
      <c r="F605" t="s">
        <v>9</v>
      </c>
      <c r="G605" t="s">
        <v>19</v>
      </c>
      <c r="H605">
        <v>9</v>
      </c>
    </row>
    <row r="606" spans="1:8">
      <c r="A606">
        <v>10607</v>
      </c>
      <c r="B606" s="1">
        <v>45913</v>
      </c>
      <c r="C606">
        <v>8416.25</v>
      </c>
      <c r="D606">
        <v>11</v>
      </c>
      <c r="E606" t="s">
        <v>31</v>
      </c>
      <c r="F606" t="s">
        <v>18</v>
      </c>
      <c r="G606" t="s">
        <v>19</v>
      </c>
      <c r="H606">
        <v>9</v>
      </c>
    </row>
    <row r="607" spans="1:8">
      <c r="A607">
        <v>10608</v>
      </c>
      <c r="B607" s="1">
        <v>45917</v>
      </c>
      <c r="C607">
        <v>873.5</v>
      </c>
      <c r="D607">
        <v>45</v>
      </c>
      <c r="E607" t="s">
        <v>62</v>
      </c>
      <c r="F607" t="s">
        <v>9</v>
      </c>
      <c r="G607" t="s">
        <v>10</v>
      </c>
      <c r="H607">
        <v>9</v>
      </c>
    </row>
    <row r="608" spans="1:8">
      <c r="A608">
        <v>10609</v>
      </c>
      <c r="B608" s="1">
        <v>45930</v>
      </c>
      <c r="C608">
        <v>2687.75</v>
      </c>
      <c r="D608">
        <v>70</v>
      </c>
      <c r="E608" t="s">
        <v>87</v>
      </c>
      <c r="F608" t="s">
        <v>9</v>
      </c>
      <c r="G608" t="s">
        <v>12</v>
      </c>
      <c r="H608">
        <v>9</v>
      </c>
    </row>
    <row r="609" spans="1:8">
      <c r="A609">
        <v>10610</v>
      </c>
      <c r="B609" s="1">
        <v>45911</v>
      </c>
      <c r="C609">
        <v>1041.25</v>
      </c>
      <c r="D609">
        <v>59</v>
      </c>
      <c r="E609" t="s">
        <v>86</v>
      </c>
      <c r="F609" t="s">
        <v>9</v>
      </c>
      <c r="G609" t="s">
        <v>16</v>
      </c>
      <c r="H609">
        <v>9</v>
      </c>
    </row>
    <row r="610" spans="1:8">
      <c r="A610">
        <v>10611</v>
      </c>
      <c r="B610" s="1">
        <v>45904</v>
      </c>
      <c r="C610">
        <v>3994.5</v>
      </c>
      <c r="D610">
        <v>16</v>
      </c>
      <c r="E610" t="s">
        <v>21</v>
      </c>
      <c r="F610" t="s">
        <v>18</v>
      </c>
      <c r="G610" t="s">
        <v>10</v>
      </c>
      <c r="H610">
        <v>9</v>
      </c>
    </row>
    <row r="611" spans="1:8">
      <c r="A611">
        <v>10612</v>
      </c>
      <c r="B611" s="1">
        <v>45907</v>
      </c>
      <c r="C611">
        <v>4981.25</v>
      </c>
      <c r="D611">
        <v>14</v>
      </c>
      <c r="E611" t="s">
        <v>42</v>
      </c>
      <c r="F611" t="s">
        <v>18</v>
      </c>
      <c r="G611" t="s">
        <v>10</v>
      </c>
      <c r="H611">
        <v>9</v>
      </c>
    </row>
    <row r="612" spans="1:8">
      <c r="A612">
        <v>10613</v>
      </c>
      <c r="B612" s="1">
        <v>45916</v>
      </c>
      <c r="C612">
        <v>6524.5</v>
      </c>
      <c r="D612">
        <v>27</v>
      </c>
      <c r="E612" t="s">
        <v>34</v>
      </c>
      <c r="F612" t="s">
        <v>18</v>
      </c>
      <c r="G612" t="s">
        <v>19</v>
      </c>
      <c r="H612">
        <v>9</v>
      </c>
    </row>
    <row r="613" spans="1:8">
      <c r="A613">
        <v>10614</v>
      </c>
      <c r="B613" s="1">
        <v>45922</v>
      </c>
      <c r="C613">
        <v>13987.75</v>
      </c>
      <c r="D613">
        <v>23</v>
      </c>
      <c r="E613" t="s">
        <v>88</v>
      </c>
      <c r="F613" t="s">
        <v>18</v>
      </c>
      <c r="G613" t="s">
        <v>10</v>
      </c>
      <c r="H613">
        <v>9</v>
      </c>
    </row>
    <row r="614" spans="1:8">
      <c r="A614">
        <v>10615</v>
      </c>
      <c r="B614" s="1">
        <v>45922</v>
      </c>
      <c r="C614">
        <v>4856.75</v>
      </c>
      <c r="D614">
        <v>6</v>
      </c>
      <c r="E614" t="s">
        <v>48</v>
      </c>
      <c r="F614" t="s">
        <v>18</v>
      </c>
      <c r="G614" t="s">
        <v>19</v>
      </c>
      <c r="H614">
        <v>9</v>
      </c>
    </row>
    <row r="615" spans="1:8">
      <c r="A615">
        <v>10616</v>
      </c>
      <c r="B615" s="1">
        <v>45921</v>
      </c>
      <c r="C615">
        <v>973.25</v>
      </c>
      <c r="D615">
        <v>37</v>
      </c>
      <c r="E615" t="s">
        <v>14</v>
      </c>
      <c r="F615" t="s">
        <v>9</v>
      </c>
      <c r="G615" t="s">
        <v>12</v>
      </c>
      <c r="H615">
        <v>9</v>
      </c>
    </row>
    <row r="616" spans="1:8">
      <c r="A616">
        <v>10617</v>
      </c>
      <c r="B616" s="1">
        <v>45927</v>
      </c>
      <c r="C616">
        <v>5475.25</v>
      </c>
      <c r="D616">
        <v>24</v>
      </c>
      <c r="E616" t="s">
        <v>72</v>
      </c>
      <c r="F616" t="s">
        <v>18</v>
      </c>
      <c r="G616" t="s">
        <v>12</v>
      </c>
      <c r="H616">
        <v>9</v>
      </c>
    </row>
    <row r="617" spans="1:8">
      <c r="A617">
        <v>10618</v>
      </c>
      <c r="B617" s="1">
        <v>45925</v>
      </c>
      <c r="C617">
        <v>1491</v>
      </c>
      <c r="D617">
        <v>61</v>
      </c>
      <c r="E617" t="s">
        <v>33</v>
      </c>
      <c r="F617" t="s">
        <v>9</v>
      </c>
      <c r="G617" t="s">
        <v>16</v>
      </c>
      <c r="H617">
        <v>9</v>
      </c>
    </row>
    <row r="618" spans="1:8">
      <c r="A618">
        <v>10619</v>
      </c>
      <c r="B618" s="1">
        <v>45904</v>
      </c>
      <c r="C618">
        <v>1807.5</v>
      </c>
      <c r="D618">
        <v>52</v>
      </c>
      <c r="E618" t="s">
        <v>61</v>
      </c>
      <c r="F618" t="s">
        <v>9</v>
      </c>
      <c r="G618" t="s">
        <v>12</v>
      </c>
      <c r="H618">
        <v>9</v>
      </c>
    </row>
    <row r="619" spans="1:8">
      <c r="A619">
        <v>10620</v>
      </c>
      <c r="B619" s="1">
        <v>45922</v>
      </c>
      <c r="C619">
        <v>10953.25</v>
      </c>
      <c r="D619">
        <v>27</v>
      </c>
      <c r="E619" t="s">
        <v>34</v>
      </c>
      <c r="F619" t="s">
        <v>18</v>
      </c>
      <c r="G619" t="s">
        <v>19</v>
      </c>
      <c r="H619">
        <v>9</v>
      </c>
    </row>
    <row r="620" spans="1:8">
      <c r="A620">
        <v>10621</v>
      </c>
      <c r="B620" s="1">
        <v>45922</v>
      </c>
      <c r="C620">
        <v>15456</v>
      </c>
      <c r="D620">
        <v>4</v>
      </c>
      <c r="E620" t="s">
        <v>26</v>
      </c>
      <c r="F620" t="s">
        <v>18</v>
      </c>
      <c r="G620" t="s">
        <v>16</v>
      </c>
      <c r="H620">
        <v>9</v>
      </c>
    </row>
    <row r="621" spans="1:8">
      <c r="A621">
        <v>10622</v>
      </c>
      <c r="B621" s="1">
        <v>45920</v>
      </c>
      <c r="C621">
        <v>1746.75</v>
      </c>
      <c r="D621">
        <v>72</v>
      </c>
      <c r="E621" t="s">
        <v>76</v>
      </c>
      <c r="F621" t="s">
        <v>9</v>
      </c>
      <c r="G621" t="s">
        <v>12</v>
      </c>
      <c r="H621">
        <v>9</v>
      </c>
    </row>
    <row r="622" spans="1:8">
      <c r="A622">
        <v>10623</v>
      </c>
      <c r="B622" s="1">
        <v>45919</v>
      </c>
      <c r="C622">
        <v>17923</v>
      </c>
      <c r="D622">
        <v>15</v>
      </c>
      <c r="E622" t="s">
        <v>51</v>
      </c>
      <c r="F622" t="s">
        <v>18</v>
      </c>
      <c r="G622" t="s">
        <v>10</v>
      </c>
      <c r="H622">
        <v>9</v>
      </c>
    </row>
    <row r="623" spans="1:8">
      <c r="A623">
        <v>10624</v>
      </c>
      <c r="B623" s="1">
        <v>45908</v>
      </c>
      <c r="C623">
        <v>2427.75</v>
      </c>
      <c r="D623">
        <v>27</v>
      </c>
      <c r="E623" t="s">
        <v>34</v>
      </c>
      <c r="F623" t="s">
        <v>18</v>
      </c>
      <c r="G623" t="s">
        <v>19</v>
      </c>
      <c r="H623">
        <v>9</v>
      </c>
    </row>
    <row r="624" spans="1:8">
      <c r="A624">
        <v>10626</v>
      </c>
      <c r="B624" s="1">
        <v>45912</v>
      </c>
      <c r="C624">
        <v>2761.5</v>
      </c>
      <c r="D624">
        <v>34</v>
      </c>
      <c r="E624" t="s">
        <v>24</v>
      </c>
      <c r="F624" t="s">
        <v>9</v>
      </c>
      <c r="G624" t="s">
        <v>10</v>
      </c>
      <c r="H624">
        <v>9</v>
      </c>
    </row>
    <row r="625" spans="1:8">
      <c r="A625">
        <v>10627</v>
      </c>
      <c r="B625" s="1">
        <v>45918</v>
      </c>
      <c r="C625">
        <v>2605</v>
      </c>
      <c r="D625">
        <v>53</v>
      </c>
      <c r="E625" t="s">
        <v>82</v>
      </c>
      <c r="F625" t="s">
        <v>9</v>
      </c>
      <c r="G625" t="s">
        <v>16</v>
      </c>
      <c r="H625">
        <v>9</v>
      </c>
    </row>
    <row r="626" spans="1:8">
      <c r="A626">
        <v>10628</v>
      </c>
      <c r="B626" s="1">
        <v>45922</v>
      </c>
      <c r="C626">
        <v>3468.25</v>
      </c>
      <c r="D626">
        <v>25</v>
      </c>
      <c r="E626" t="s">
        <v>67</v>
      </c>
      <c r="F626" t="s">
        <v>18</v>
      </c>
      <c r="G626" t="s">
        <v>10</v>
      </c>
      <c r="H626">
        <v>9</v>
      </c>
    </row>
    <row r="627" spans="1:8">
      <c r="A627">
        <v>10629</v>
      </c>
      <c r="B627" s="1">
        <v>45916</v>
      </c>
      <c r="C627">
        <v>1636.75</v>
      </c>
      <c r="D627">
        <v>63</v>
      </c>
      <c r="E627" t="s">
        <v>55</v>
      </c>
      <c r="F627" t="s">
        <v>9</v>
      </c>
      <c r="G627" t="s">
        <v>10</v>
      </c>
      <c r="H627">
        <v>9</v>
      </c>
    </row>
    <row r="628" spans="1:8">
      <c r="A628">
        <v>10630</v>
      </c>
      <c r="B628" s="1">
        <v>45914</v>
      </c>
      <c r="C628">
        <v>742.75</v>
      </c>
      <c r="D628">
        <v>52</v>
      </c>
      <c r="E628" t="s">
        <v>61</v>
      </c>
      <c r="F628" t="s">
        <v>9</v>
      </c>
      <c r="G628" t="s">
        <v>12</v>
      </c>
      <c r="H628">
        <v>9</v>
      </c>
    </row>
    <row r="629" spans="1:8">
      <c r="A629">
        <v>10631</v>
      </c>
      <c r="B629" s="1">
        <v>45925</v>
      </c>
      <c r="C629">
        <v>2295.5</v>
      </c>
      <c r="D629">
        <v>57</v>
      </c>
      <c r="E629" t="s">
        <v>11</v>
      </c>
      <c r="F629" t="s">
        <v>9</v>
      </c>
      <c r="G629" t="s">
        <v>12</v>
      </c>
      <c r="H629">
        <v>9</v>
      </c>
    </row>
    <row r="630" spans="1:8">
      <c r="A630">
        <v>10632</v>
      </c>
      <c r="B630" s="1">
        <v>45901</v>
      </c>
      <c r="C630">
        <v>464</v>
      </c>
      <c r="D630">
        <v>46</v>
      </c>
      <c r="E630" t="s">
        <v>15</v>
      </c>
      <c r="F630" t="s">
        <v>9</v>
      </c>
      <c r="G630" t="s">
        <v>16</v>
      </c>
      <c r="H630">
        <v>9</v>
      </c>
    </row>
    <row r="631" spans="1:8">
      <c r="A631">
        <v>10633</v>
      </c>
      <c r="B631" s="1">
        <v>45923</v>
      </c>
      <c r="C631">
        <v>1072.5</v>
      </c>
      <c r="D631">
        <v>47</v>
      </c>
      <c r="E631" t="s">
        <v>68</v>
      </c>
      <c r="F631" t="s">
        <v>9</v>
      </c>
      <c r="G631" t="s">
        <v>19</v>
      </c>
      <c r="H631">
        <v>9</v>
      </c>
    </row>
    <row r="632" spans="1:8">
      <c r="A632">
        <v>10634</v>
      </c>
      <c r="B632" s="1">
        <v>45901</v>
      </c>
      <c r="C632">
        <v>2431.25</v>
      </c>
      <c r="D632">
        <v>62</v>
      </c>
      <c r="E632" t="s">
        <v>28</v>
      </c>
      <c r="F632" t="s">
        <v>9</v>
      </c>
      <c r="G632" t="s">
        <v>10</v>
      </c>
      <c r="H632">
        <v>9</v>
      </c>
    </row>
    <row r="633" spans="1:8">
      <c r="A633">
        <v>10635</v>
      </c>
      <c r="B633" s="1">
        <v>45906</v>
      </c>
      <c r="C633">
        <v>2364.25</v>
      </c>
      <c r="D633">
        <v>43</v>
      </c>
      <c r="E633" t="s">
        <v>90</v>
      </c>
      <c r="F633" t="s">
        <v>9</v>
      </c>
      <c r="G633" t="s">
        <v>19</v>
      </c>
      <c r="H633">
        <v>9</v>
      </c>
    </row>
    <row r="634" spans="1:8">
      <c r="A634">
        <v>10636</v>
      </c>
      <c r="B634" s="1">
        <v>45915</v>
      </c>
      <c r="C634">
        <v>2370.25</v>
      </c>
      <c r="D634">
        <v>44</v>
      </c>
      <c r="E634" t="s">
        <v>78</v>
      </c>
      <c r="F634" t="s">
        <v>9</v>
      </c>
      <c r="G634" t="s">
        <v>57</v>
      </c>
      <c r="H634">
        <v>9</v>
      </c>
    </row>
    <row r="635" spans="1:8">
      <c r="A635">
        <v>10637</v>
      </c>
      <c r="B635" s="1">
        <v>45916</v>
      </c>
      <c r="C635">
        <v>1708.75</v>
      </c>
      <c r="D635">
        <v>51</v>
      </c>
      <c r="E635" t="s">
        <v>36</v>
      </c>
      <c r="F635" t="s">
        <v>9</v>
      </c>
      <c r="G635" t="s">
        <v>19</v>
      </c>
      <c r="H635">
        <v>9</v>
      </c>
    </row>
    <row r="636" spans="1:8">
      <c r="A636">
        <v>10638</v>
      </c>
      <c r="B636" s="1">
        <v>45920</v>
      </c>
      <c r="C636">
        <v>3002.25</v>
      </c>
      <c r="D636">
        <v>7</v>
      </c>
      <c r="E636" t="s">
        <v>66</v>
      </c>
      <c r="F636" t="s">
        <v>18</v>
      </c>
      <c r="G636" t="s">
        <v>10</v>
      </c>
      <c r="H636">
        <v>9</v>
      </c>
    </row>
    <row r="637" spans="1:8">
      <c r="A637">
        <v>10639</v>
      </c>
      <c r="B637" s="1">
        <v>45917</v>
      </c>
      <c r="C637">
        <v>1185.5</v>
      </c>
      <c r="D637">
        <v>42</v>
      </c>
      <c r="E637" t="s">
        <v>8</v>
      </c>
      <c r="F637" t="s">
        <v>9</v>
      </c>
      <c r="G637" t="s">
        <v>10</v>
      </c>
      <c r="H637">
        <v>9</v>
      </c>
    </row>
    <row r="638" spans="1:8">
      <c r="A638">
        <v>10640</v>
      </c>
      <c r="B638" s="1">
        <v>45929</v>
      </c>
      <c r="C638">
        <v>418</v>
      </c>
      <c r="D638">
        <v>32</v>
      </c>
      <c r="E638" t="s">
        <v>65</v>
      </c>
      <c r="F638" t="s">
        <v>9</v>
      </c>
      <c r="G638" t="s">
        <v>12</v>
      </c>
      <c r="H638">
        <v>9</v>
      </c>
    </row>
    <row r="639" spans="1:8">
      <c r="A639">
        <v>10641</v>
      </c>
      <c r="B639" s="1">
        <v>45910</v>
      </c>
      <c r="C639">
        <v>1944.75</v>
      </c>
      <c r="D639">
        <v>51</v>
      </c>
      <c r="E639" t="s">
        <v>36</v>
      </c>
      <c r="F639" t="s">
        <v>9</v>
      </c>
      <c r="G639" t="s">
        <v>19</v>
      </c>
      <c r="H639">
        <v>9</v>
      </c>
    </row>
    <row r="640" spans="1:8">
      <c r="A640">
        <v>10642</v>
      </c>
      <c r="B640" s="1">
        <v>45905</v>
      </c>
      <c r="C640">
        <v>2072.5</v>
      </c>
      <c r="D640">
        <v>56</v>
      </c>
      <c r="E640" t="s">
        <v>43</v>
      </c>
      <c r="F640" t="s">
        <v>9</v>
      </c>
      <c r="G640" t="s">
        <v>10</v>
      </c>
      <c r="H640">
        <v>9</v>
      </c>
    </row>
    <row r="641" spans="1:8">
      <c r="A641">
        <v>10643</v>
      </c>
      <c r="B641" s="1">
        <v>45922</v>
      </c>
      <c r="C641">
        <v>15234.5</v>
      </c>
      <c r="D641">
        <v>7</v>
      </c>
      <c r="E641" t="s">
        <v>66</v>
      </c>
      <c r="F641" t="s">
        <v>18</v>
      </c>
      <c r="G641" t="s">
        <v>10</v>
      </c>
      <c r="H641">
        <v>9</v>
      </c>
    </row>
    <row r="642" spans="1:8">
      <c r="A642">
        <v>10644</v>
      </c>
      <c r="B642" s="1">
        <v>45922</v>
      </c>
      <c r="C642">
        <v>2226.5</v>
      </c>
      <c r="D642">
        <v>12</v>
      </c>
      <c r="E642" t="s">
        <v>75</v>
      </c>
      <c r="F642" t="s">
        <v>18</v>
      </c>
      <c r="G642" t="s">
        <v>16</v>
      </c>
      <c r="H642">
        <v>9</v>
      </c>
    </row>
    <row r="643" spans="1:8">
      <c r="A643">
        <v>10645</v>
      </c>
      <c r="B643" s="1">
        <v>45924</v>
      </c>
      <c r="C643">
        <v>16668.75</v>
      </c>
      <c r="D643">
        <v>9</v>
      </c>
      <c r="E643" t="s">
        <v>56</v>
      </c>
      <c r="F643" t="s">
        <v>18</v>
      </c>
      <c r="G643" t="s">
        <v>57</v>
      </c>
      <c r="H643">
        <v>9</v>
      </c>
    </row>
    <row r="644" spans="1:8">
      <c r="A644">
        <v>10646</v>
      </c>
      <c r="B644" s="1">
        <v>45924</v>
      </c>
      <c r="C644">
        <v>901</v>
      </c>
      <c r="D644">
        <v>55</v>
      </c>
      <c r="E644" t="s">
        <v>63</v>
      </c>
      <c r="F644" t="s">
        <v>9</v>
      </c>
      <c r="G644" t="s">
        <v>19</v>
      </c>
      <c r="H644">
        <v>9</v>
      </c>
    </row>
    <row r="645" spans="1:8">
      <c r="A645">
        <v>10647</v>
      </c>
      <c r="B645" s="1">
        <v>45928</v>
      </c>
      <c r="C645">
        <v>587.75</v>
      </c>
      <c r="D645">
        <v>47</v>
      </c>
      <c r="E645" t="s">
        <v>68</v>
      </c>
      <c r="F645" t="s">
        <v>9</v>
      </c>
      <c r="G645" t="s">
        <v>19</v>
      </c>
      <c r="H645">
        <v>9</v>
      </c>
    </row>
    <row r="646" spans="1:8">
      <c r="A646">
        <v>10648</v>
      </c>
      <c r="B646" s="1">
        <v>45922</v>
      </c>
      <c r="C646">
        <v>16550</v>
      </c>
      <c r="D646">
        <v>29</v>
      </c>
      <c r="E646" t="s">
        <v>23</v>
      </c>
      <c r="F646" t="s">
        <v>18</v>
      </c>
      <c r="G646" t="s">
        <v>10</v>
      </c>
      <c r="H646">
        <v>9</v>
      </c>
    </row>
    <row r="647" spans="1:8">
      <c r="A647">
        <v>10649</v>
      </c>
      <c r="B647" s="1">
        <v>45925</v>
      </c>
      <c r="C647">
        <v>1810.75</v>
      </c>
      <c r="D647">
        <v>29</v>
      </c>
      <c r="E647" t="s">
        <v>23</v>
      </c>
      <c r="F647" t="s">
        <v>18</v>
      </c>
      <c r="G647" t="s">
        <v>10</v>
      </c>
      <c r="H647">
        <v>9</v>
      </c>
    </row>
    <row r="648" spans="1:8">
      <c r="A648">
        <v>10650</v>
      </c>
      <c r="B648" s="1">
        <v>45901</v>
      </c>
      <c r="C648">
        <v>12657.25</v>
      </c>
      <c r="D648">
        <v>5</v>
      </c>
      <c r="E648" t="s">
        <v>17</v>
      </c>
      <c r="F648" t="s">
        <v>18</v>
      </c>
      <c r="G648" t="s">
        <v>19</v>
      </c>
      <c r="H648">
        <v>9</v>
      </c>
    </row>
    <row r="649" spans="1:8">
      <c r="A649">
        <v>10651</v>
      </c>
      <c r="B649" s="1">
        <v>45925</v>
      </c>
      <c r="C649">
        <v>1726.5</v>
      </c>
      <c r="D649">
        <v>48</v>
      </c>
      <c r="E649" t="s">
        <v>74</v>
      </c>
      <c r="F649" t="s">
        <v>9</v>
      </c>
      <c r="G649" t="s">
        <v>16</v>
      </c>
      <c r="H649">
        <v>9</v>
      </c>
    </row>
    <row r="650" spans="1:8">
      <c r="A650">
        <v>10652</v>
      </c>
      <c r="B650" s="1">
        <v>45918</v>
      </c>
      <c r="C650">
        <v>5814</v>
      </c>
      <c r="D650">
        <v>15</v>
      </c>
      <c r="E650" t="s">
        <v>51</v>
      </c>
      <c r="F650" t="s">
        <v>18</v>
      </c>
      <c r="G650" t="s">
        <v>10</v>
      </c>
      <c r="H650">
        <v>9</v>
      </c>
    </row>
    <row r="651" spans="1:8">
      <c r="A651">
        <v>10653</v>
      </c>
      <c r="B651" s="1">
        <v>45906</v>
      </c>
      <c r="C651">
        <v>5632</v>
      </c>
      <c r="D651">
        <v>12</v>
      </c>
      <c r="E651" t="s">
        <v>75</v>
      </c>
      <c r="F651" t="s">
        <v>18</v>
      </c>
      <c r="G651" t="s">
        <v>16</v>
      </c>
      <c r="H651">
        <v>9</v>
      </c>
    </row>
    <row r="652" spans="1:8">
      <c r="A652">
        <v>10654</v>
      </c>
      <c r="B652" s="1">
        <v>45918</v>
      </c>
      <c r="C652">
        <v>2768.5</v>
      </c>
      <c r="D652">
        <v>32</v>
      </c>
      <c r="E652" t="s">
        <v>65</v>
      </c>
      <c r="F652" t="s">
        <v>9</v>
      </c>
      <c r="G652" t="s">
        <v>12</v>
      </c>
      <c r="H652">
        <v>9</v>
      </c>
    </row>
    <row r="653" spans="1:8">
      <c r="A653">
        <v>10655</v>
      </c>
      <c r="B653" s="1">
        <v>45903</v>
      </c>
      <c r="C653">
        <v>1413.75</v>
      </c>
      <c r="D653">
        <v>52</v>
      </c>
      <c r="E653" t="s">
        <v>61</v>
      </c>
      <c r="F653" t="s">
        <v>9</v>
      </c>
      <c r="G653" t="s">
        <v>12</v>
      </c>
      <c r="H653">
        <v>9</v>
      </c>
    </row>
    <row r="654" spans="1:8">
      <c r="A654">
        <v>10656</v>
      </c>
      <c r="B654" s="1">
        <v>45918</v>
      </c>
      <c r="C654">
        <v>329</v>
      </c>
      <c r="D654">
        <v>74</v>
      </c>
      <c r="E654" t="s">
        <v>32</v>
      </c>
      <c r="F654" t="s">
        <v>9</v>
      </c>
      <c r="G654" t="s">
        <v>16</v>
      </c>
      <c r="H654">
        <v>9</v>
      </c>
    </row>
    <row r="655" spans="1:8">
      <c r="A655">
        <v>10657</v>
      </c>
      <c r="B655" s="1">
        <v>45926</v>
      </c>
      <c r="C655">
        <v>14911.5</v>
      </c>
      <c r="D655">
        <v>10</v>
      </c>
      <c r="E655" t="s">
        <v>64</v>
      </c>
      <c r="F655" t="s">
        <v>18</v>
      </c>
      <c r="G655" t="s">
        <v>19</v>
      </c>
      <c r="H655">
        <v>9</v>
      </c>
    </row>
    <row r="656" spans="1:8">
      <c r="A656">
        <v>10658</v>
      </c>
      <c r="B656" s="1">
        <v>45908</v>
      </c>
      <c r="C656">
        <v>1225.75</v>
      </c>
      <c r="D656">
        <v>60</v>
      </c>
      <c r="E656" t="s">
        <v>89</v>
      </c>
      <c r="F656" t="s">
        <v>9</v>
      </c>
      <c r="G656" t="s">
        <v>10</v>
      </c>
      <c r="H656">
        <v>9</v>
      </c>
    </row>
    <row r="657" spans="1:8">
      <c r="A657">
        <v>10659</v>
      </c>
      <c r="B657" s="1">
        <v>45917</v>
      </c>
      <c r="C657">
        <v>6915.5</v>
      </c>
      <c r="D657">
        <v>11</v>
      </c>
      <c r="E657" t="s">
        <v>31</v>
      </c>
      <c r="F657" t="s">
        <v>18</v>
      </c>
      <c r="G657" t="s">
        <v>19</v>
      </c>
      <c r="H657">
        <v>9</v>
      </c>
    </row>
    <row r="658" spans="1:8">
      <c r="A658">
        <v>10660</v>
      </c>
      <c r="B658" s="1">
        <v>45917</v>
      </c>
      <c r="C658">
        <v>17746.75</v>
      </c>
      <c r="D658">
        <v>19</v>
      </c>
      <c r="E658" t="s">
        <v>38</v>
      </c>
      <c r="F658" t="s">
        <v>18</v>
      </c>
      <c r="G658" t="s">
        <v>10</v>
      </c>
      <c r="H658">
        <v>9</v>
      </c>
    </row>
    <row r="659" spans="1:8">
      <c r="A659">
        <v>10661</v>
      </c>
      <c r="B659" s="1">
        <v>45918</v>
      </c>
      <c r="C659">
        <v>1864</v>
      </c>
      <c r="D659">
        <v>31</v>
      </c>
      <c r="E659" t="s">
        <v>77</v>
      </c>
      <c r="F659" t="s">
        <v>9</v>
      </c>
      <c r="G659" t="s">
        <v>16</v>
      </c>
      <c r="H659">
        <v>9</v>
      </c>
    </row>
    <row r="660" spans="1:8">
      <c r="A660">
        <v>10662</v>
      </c>
      <c r="B660" s="1">
        <v>45910</v>
      </c>
      <c r="C660">
        <v>2224</v>
      </c>
      <c r="D660">
        <v>40</v>
      </c>
      <c r="E660" t="s">
        <v>58</v>
      </c>
      <c r="F660" t="s">
        <v>9</v>
      </c>
      <c r="G660" t="s">
        <v>19</v>
      </c>
      <c r="H660">
        <v>9</v>
      </c>
    </row>
    <row r="661" spans="1:8">
      <c r="A661">
        <v>10663</v>
      </c>
      <c r="B661" s="1">
        <v>45905</v>
      </c>
      <c r="C661">
        <v>12931.5</v>
      </c>
      <c r="D661">
        <v>24</v>
      </c>
      <c r="E661" t="s">
        <v>72</v>
      </c>
      <c r="F661" t="s">
        <v>18</v>
      </c>
      <c r="G661" t="s">
        <v>12</v>
      </c>
      <c r="H661">
        <v>9</v>
      </c>
    </row>
    <row r="662" spans="1:8">
      <c r="A662">
        <v>10664</v>
      </c>
      <c r="B662" s="1">
        <v>45909</v>
      </c>
      <c r="C662">
        <v>524.5</v>
      </c>
      <c r="D662">
        <v>51</v>
      </c>
      <c r="E662" t="s">
        <v>36</v>
      </c>
      <c r="F662" t="s">
        <v>9</v>
      </c>
      <c r="G662" t="s">
        <v>19</v>
      </c>
      <c r="H662">
        <v>9</v>
      </c>
    </row>
    <row r="663" spans="1:8">
      <c r="A663">
        <v>10665</v>
      </c>
      <c r="B663" s="1">
        <v>45928</v>
      </c>
      <c r="C663">
        <v>1779.5</v>
      </c>
      <c r="D663">
        <v>75</v>
      </c>
      <c r="E663" t="s">
        <v>85</v>
      </c>
      <c r="F663" t="s">
        <v>9</v>
      </c>
      <c r="G663" t="s">
        <v>19</v>
      </c>
      <c r="H663">
        <v>9</v>
      </c>
    </row>
    <row r="664" spans="1:8">
      <c r="A664">
        <v>10666</v>
      </c>
      <c r="B664" s="1">
        <v>45904</v>
      </c>
      <c r="C664">
        <v>1301.75</v>
      </c>
      <c r="D664">
        <v>36</v>
      </c>
      <c r="E664" t="s">
        <v>83</v>
      </c>
      <c r="F664" t="s">
        <v>9</v>
      </c>
      <c r="G664" t="s">
        <v>16</v>
      </c>
      <c r="H664">
        <v>9</v>
      </c>
    </row>
    <row r="665" spans="1:8">
      <c r="A665">
        <v>10667</v>
      </c>
      <c r="B665" s="1">
        <v>45901</v>
      </c>
      <c r="C665">
        <v>1892.5</v>
      </c>
      <c r="D665">
        <v>60</v>
      </c>
      <c r="E665" t="s">
        <v>89</v>
      </c>
      <c r="F665" t="s">
        <v>9</v>
      </c>
      <c r="G665" t="s">
        <v>10</v>
      </c>
      <c r="H665">
        <v>9</v>
      </c>
    </row>
    <row r="666" spans="1:8">
      <c r="A666">
        <v>10668</v>
      </c>
      <c r="B666" s="1">
        <v>45928</v>
      </c>
      <c r="C666">
        <v>1954</v>
      </c>
      <c r="D666">
        <v>36</v>
      </c>
      <c r="E666" t="s">
        <v>83</v>
      </c>
      <c r="F666" t="s">
        <v>9</v>
      </c>
      <c r="G666" t="s">
        <v>16</v>
      </c>
      <c r="H666">
        <v>9</v>
      </c>
    </row>
    <row r="667" spans="1:8">
      <c r="A667">
        <v>10669</v>
      </c>
      <c r="B667" s="1">
        <v>45908</v>
      </c>
      <c r="C667">
        <v>2748</v>
      </c>
      <c r="D667">
        <v>61</v>
      </c>
      <c r="E667" t="s">
        <v>33</v>
      </c>
      <c r="F667" t="s">
        <v>9</v>
      </c>
      <c r="G667" t="s">
        <v>16</v>
      </c>
      <c r="H667">
        <v>9</v>
      </c>
    </row>
    <row r="668" spans="1:8">
      <c r="A668">
        <v>10670</v>
      </c>
      <c r="B668" s="1">
        <v>45928</v>
      </c>
      <c r="C668">
        <v>2700.5</v>
      </c>
      <c r="D668">
        <v>59</v>
      </c>
      <c r="E668" t="s">
        <v>86</v>
      </c>
      <c r="F668" t="s">
        <v>9</v>
      </c>
      <c r="G668" t="s">
        <v>16</v>
      </c>
      <c r="H668">
        <v>9</v>
      </c>
    </row>
    <row r="669" spans="1:8">
      <c r="A669">
        <v>10671</v>
      </c>
      <c r="B669" s="1">
        <v>45927</v>
      </c>
      <c r="C669">
        <v>10533.25</v>
      </c>
      <c r="D669">
        <v>27</v>
      </c>
      <c r="E669" t="s">
        <v>34</v>
      </c>
      <c r="F669" t="s">
        <v>18</v>
      </c>
      <c r="G669" t="s">
        <v>19</v>
      </c>
      <c r="H669">
        <v>9</v>
      </c>
    </row>
    <row r="670" spans="1:8">
      <c r="A670">
        <v>10672</v>
      </c>
      <c r="B670" s="1">
        <v>45925</v>
      </c>
      <c r="C670">
        <v>809</v>
      </c>
      <c r="D670">
        <v>72</v>
      </c>
      <c r="E670" t="s">
        <v>76</v>
      </c>
      <c r="F670" t="s">
        <v>9</v>
      </c>
      <c r="G670" t="s">
        <v>12</v>
      </c>
      <c r="H670">
        <v>9</v>
      </c>
    </row>
    <row r="671" spans="1:8">
      <c r="A671">
        <v>10673</v>
      </c>
      <c r="B671" s="1">
        <v>45918</v>
      </c>
      <c r="C671">
        <v>473.25</v>
      </c>
      <c r="D671">
        <v>45</v>
      </c>
      <c r="E671" t="s">
        <v>62</v>
      </c>
      <c r="F671" t="s">
        <v>9</v>
      </c>
      <c r="G671" t="s">
        <v>10</v>
      </c>
      <c r="H671">
        <v>9</v>
      </c>
    </row>
    <row r="672" spans="1:8">
      <c r="A672">
        <v>10674</v>
      </c>
      <c r="B672" s="1">
        <v>45943</v>
      </c>
      <c r="C672">
        <v>508</v>
      </c>
      <c r="D672">
        <v>40</v>
      </c>
      <c r="E672" t="s">
        <v>58</v>
      </c>
      <c r="F672" t="s">
        <v>9</v>
      </c>
      <c r="G672" t="s">
        <v>19</v>
      </c>
      <c r="H672">
        <v>10</v>
      </c>
    </row>
    <row r="673" spans="1:8">
      <c r="A673">
        <v>10675</v>
      </c>
      <c r="B673" s="1">
        <v>45949</v>
      </c>
      <c r="C673">
        <v>2800.75</v>
      </c>
      <c r="D673">
        <v>37</v>
      </c>
      <c r="E673" t="s">
        <v>14</v>
      </c>
      <c r="F673" t="s">
        <v>9</v>
      </c>
      <c r="G673" t="s">
        <v>12</v>
      </c>
      <c r="H673">
        <v>10</v>
      </c>
    </row>
    <row r="674" spans="1:8">
      <c r="A674">
        <v>10676</v>
      </c>
      <c r="B674" s="1">
        <v>45938</v>
      </c>
      <c r="C674">
        <v>2150.25</v>
      </c>
      <c r="D674">
        <v>33</v>
      </c>
      <c r="E674" t="s">
        <v>20</v>
      </c>
      <c r="F674" t="s">
        <v>9</v>
      </c>
      <c r="G674" t="s">
        <v>10</v>
      </c>
      <c r="H674">
        <v>10</v>
      </c>
    </row>
    <row r="675" spans="1:8">
      <c r="A675">
        <v>10677</v>
      </c>
      <c r="B675" s="1">
        <v>45948</v>
      </c>
      <c r="C675">
        <v>13570.5</v>
      </c>
      <c r="D675">
        <v>13</v>
      </c>
      <c r="E675" t="s">
        <v>50</v>
      </c>
      <c r="F675" t="s">
        <v>18</v>
      </c>
      <c r="G675" t="s">
        <v>12</v>
      </c>
      <c r="H675">
        <v>10</v>
      </c>
    </row>
    <row r="676" spans="1:8">
      <c r="A676">
        <v>10678</v>
      </c>
      <c r="B676" s="1">
        <v>45939</v>
      </c>
      <c r="C676">
        <v>17445.5</v>
      </c>
      <c r="D676">
        <v>4</v>
      </c>
      <c r="E676" t="s">
        <v>26</v>
      </c>
      <c r="F676" t="s">
        <v>18</v>
      </c>
      <c r="G676" t="s">
        <v>16</v>
      </c>
      <c r="H676">
        <v>10</v>
      </c>
    </row>
    <row r="677" spans="1:8">
      <c r="A677">
        <v>10679</v>
      </c>
      <c r="B677" s="1">
        <v>45945</v>
      </c>
      <c r="C677">
        <v>2511.25</v>
      </c>
      <c r="D677">
        <v>73</v>
      </c>
      <c r="E677" t="s">
        <v>49</v>
      </c>
      <c r="F677" t="s">
        <v>9</v>
      </c>
      <c r="G677" t="s">
        <v>16</v>
      </c>
      <c r="H677">
        <v>10</v>
      </c>
    </row>
    <row r="678" spans="1:8">
      <c r="A678">
        <v>10680</v>
      </c>
      <c r="B678" s="1">
        <v>45935</v>
      </c>
      <c r="C678">
        <v>1378.5</v>
      </c>
      <c r="D678">
        <v>42</v>
      </c>
      <c r="E678" t="s">
        <v>8</v>
      </c>
      <c r="F678" t="s">
        <v>9</v>
      </c>
      <c r="G678" t="s">
        <v>10</v>
      </c>
      <c r="H678">
        <v>10</v>
      </c>
    </row>
    <row r="679" spans="1:8">
      <c r="A679">
        <v>10681</v>
      </c>
      <c r="B679" s="1">
        <v>45947</v>
      </c>
      <c r="C679">
        <v>9169</v>
      </c>
      <c r="D679">
        <v>2</v>
      </c>
      <c r="E679" t="s">
        <v>46</v>
      </c>
      <c r="F679" t="s">
        <v>18</v>
      </c>
      <c r="G679" t="s">
        <v>10</v>
      </c>
      <c r="H679">
        <v>10</v>
      </c>
    </row>
    <row r="680" spans="1:8">
      <c r="A680">
        <v>10682</v>
      </c>
      <c r="B680" s="1">
        <v>45959</v>
      </c>
      <c r="C680">
        <v>351.25</v>
      </c>
      <c r="D680">
        <v>34</v>
      </c>
      <c r="E680" t="s">
        <v>24</v>
      </c>
      <c r="F680" t="s">
        <v>9</v>
      </c>
      <c r="G680" t="s">
        <v>10</v>
      </c>
      <c r="H680">
        <v>10</v>
      </c>
    </row>
    <row r="681" spans="1:8">
      <c r="A681">
        <v>10683</v>
      </c>
      <c r="B681" s="1">
        <v>45961</v>
      </c>
      <c r="C681">
        <v>2153.75</v>
      </c>
      <c r="D681">
        <v>54</v>
      </c>
      <c r="E681" t="s">
        <v>53</v>
      </c>
      <c r="F681" t="s">
        <v>9</v>
      </c>
      <c r="G681" t="s">
        <v>12</v>
      </c>
      <c r="H681">
        <v>10</v>
      </c>
    </row>
    <row r="682" spans="1:8">
      <c r="A682">
        <v>10684</v>
      </c>
      <c r="B682" s="1">
        <v>45943</v>
      </c>
      <c r="C682">
        <v>12720.75</v>
      </c>
      <c r="D682">
        <v>1</v>
      </c>
      <c r="E682" t="s">
        <v>54</v>
      </c>
      <c r="F682" t="s">
        <v>18</v>
      </c>
      <c r="G682" t="s">
        <v>19</v>
      </c>
      <c r="H682">
        <v>10</v>
      </c>
    </row>
    <row r="683" spans="1:8">
      <c r="A683">
        <v>10685</v>
      </c>
      <c r="B683" s="1">
        <v>45938</v>
      </c>
      <c r="C683">
        <v>840</v>
      </c>
      <c r="D683">
        <v>75</v>
      </c>
      <c r="E683" t="s">
        <v>85</v>
      </c>
      <c r="F683" t="s">
        <v>9</v>
      </c>
      <c r="G683" t="s">
        <v>19</v>
      </c>
      <c r="H683">
        <v>10</v>
      </c>
    </row>
    <row r="684" spans="1:8">
      <c r="A684">
        <v>10686</v>
      </c>
      <c r="B684" s="1">
        <v>45954</v>
      </c>
      <c r="C684">
        <v>16339.5</v>
      </c>
      <c r="D684">
        <v>12</v>
      </c>
      <c r="E684" t="s">
        <v>75</v>
      </c>
      <c r="F684" t="s">
        <v>18</v>
      </c>
      <c r="G684" t="s">
        <v>16</v>
      </c>
      <c r="H684">
        <v>10</v>
      </c>
    </row>
    <row r="685" spans="1:8">
      <c r="A685">
        <v>10687</v>
      </c>
      <c r="B685" s="1">
        <v>45958</v>
      </c>
      <c r="C685">
        <v>8965</v>
      </c>
      <c r="D685">
        <v>30</v>
      </c>
      <c r="E685" t="s">
        <v>70</v>
      </c>
      <c r="F685" t="s">
        <v>18</v>
      </c>
      <c r="G685" t="s">
        <v>10</v>
      </c>
      <c r="H685">
        <v>10</v>
      </c>
    </row>
    <row r="686" spans="1:8">
      <c r="A686">
        <v>10688</v>
      </c>
      <c r="B686" s="1">
        <v>45941</v>
      </c>
      <c r="C686">
        <v>10854</v>
      </c>
      <c r="D686">
        <v>4</v>
      </c>
      <c r="E686" t="s">
        <v>26</v>
      </c>
      <c r="F686" t="s">
        <v>18</v>
      </c>
      <c r="G686" t="s">
        <v>16</v>
      </c>
      <c r="H686">
        <v>10</v>
      </c>
    </row>
    <row r="687" spans="1:8">
      <c r="A687">
        <v>10689</v>
      </c>
      <c r="B687" s="1">
        <v>45959</v>
      </c>
      <c r="C687">
        <v>1236.75</v>
      </c>
      <c r="D687">
        <v>58</v>
      </c>
      <c r="E687" t="s">
        <v>84</v>
      </c>
      <c r="F687" t="s">
        <v>9</v>
      </c>
      <c r="G687" t="s">
        <v>10</v>
      </c>
      <c r="H687">
        <v>10</v>
      </c>
    </row>
    <row r="688" spans="1:8">
      <c r="A688">
        <v>10690</v>
      </c>
      <c r="B688" s="1">
        <v>45960</v>
      </c>
      <c r="C688">
        <v>462.5</v>
      </c>
      <c r="D688">
        <v>59</v>
      </c>
      <c r="E688" t="s">
        <v>86</v>
      </c>
      <c r="F688" t="s">
        <v>9</v>
      </c>
      <c r="G688" t="s">
        <v>16</v>
      </c>
      <c r="H688">
        <v>10</v>
      </c>
    </row>
    <row r="689" spans="1:8">
      <c r="A689">
        <v>10691</v>
      </c>
      <c r="B689" s="1">
        <v>45945</v>
      </c>
      <c r="C689">
        <v>2020.5</v>
      </c>
      <c r="D689">
        <v>60</v>
      </c>
      <c r="E689" t="s">
        <v>89</v>
      </c>
      <c r="F689" t="s">
        <v>9</v>
      </c>
      <c r="G689" t="s">
        <v>10</v>
      </c>
      <c r="H689">
        <v>10</v>
      </c>
    </row>
    <row r="690" spans="1:8">
      <c r="A690">
        <v>10692</v>
      </c>
      <c r="B690" s="1">
        <v>45936</v>
      </c>
      <c r="C690">
        <v>10962</v>
      </c>
      <c r="D690">
        <v>14</v>
      </c>
      <c r="E690" t="s">
        <v>42</v>
      </c>
      <c r="F690" t="s">
        <v>18</v>
      </c>
      <c r="G690" t="s">
        <v>10</v>
      </c>
      <c r="H690">
        <v>10</v>
      </c>
    </row>
    <row r="691" spans="1:8">
      <c r="A691">
        <v>10693</v>
      </c>
      <c r="B691" s="1">
        <v>45943</v>
      </c>
      <c r="C691">
        <v>1398.75</v>
      </c>
      <c r="D691">
        <v>32</v>
      </c>
      <c r="E691" t="s">
        <v>65</v>
      </c>
      <c r="F691" t="s">
        <v>9</v>
      </c>
      <c r="G691" t="s">
        <v>12</v>
      </c>
      <c r="H691">
        <v>10</v>
      </c>
    </row>
    <row r="692" spans="1:8">
      <c r="A692">
        <v>10694</v>
      </c>
      <c r="B692" s="1">
        <v>45952</v>
      </c>
      <c r="C692">
        <v>14801.5</v>
      </c>
      <c r="D692">
        <v>5</v>
      </c>
      <c r="E692" t="s">
        <v>17</v>
      </c>
      <c r="F692" t="s">
        <v>18</v>
      </c>
      <c r="G692" t="s">
        <v>19</v>
      </c>
      <c r="H692">
        <v>10</v>
      </c>
    </row>
    <row r="693" spans="1:8">
      <c r="A693">
        <v>10695</v>
      </c>
      <c r="B693" s="1">
        <v>45961</v>
      </c>
      <c r="C693">
        <v>2395.5</v>
      </c>
      <c r="D693">
        <v>64</v>
      </c>
      <c r="E693" t="s">
        <v>45</v>
      </c>
      <c r="F693" t="s">
        <v>9</v>
      </c>
      <c r="G693" t="s">
        <v>12</v>
      </c>
      <c r="H693">
        <v>10</v>
      </c>
    </row>
    <row r="694" spans="1:8">
      <c r="A694">
        <v>10696</v>
      </c>
      <c r="B694" s="1">
        <v>45939</v>
      </c>
      <c r="C694">
        <v>16286.25</v>
      </c>
      <c r="D694">
        <v>30</v>
      </c>
      <c r="E694" t="s">
        <v>70</v>
      </c>
      <c r="F694" t="s">
        <v>18</v>
      </c>
      <c r="G694" t="s">
        <v>10</v>
      </c>
      <c r="H694">
        <v>10</v>
      </c>
    </row>
    <row r="695" spans="1:8">
      <c r="A695">
        <v>10697</v>
      </c>
      <c r="B695" s="1">
        <v>45939</v>
      </c>
      <c r="C695">
        <v>966.25</v>
      </c>
      <c r="D695">
        <v>67</v>
      </c>
      <c r="E695" t="s">
        <v>35</v>
      </c>
      <c r="F695" t="s">
        <v>9</v>
      </c>
      <c r="G695" t="s">
        <v>10</v>
      </c>
      <c r="H695">
        <v>10</v>
      </c>
    </row>
    <row r="696" spans="1:8">
      <c r="A696">
        <v>10698</v>
      </c>
      <c r="B696" s="1">
        <v>45958</v>
      </c>
      <c r="C696">
        <v>10526.25</v>
      </c>
      <c r="D696">
        <v>2</v>
      </c>
      <c r="E696" t="s">
        <v>46</v>
      </c>
      <c r="F696" t="s">
        <v>18</v>
      </c>
      <c r="G696" t="s">
        <v>10</v>
      </c>
      <c r="H696">
        <v>10</v>
      </c>
    </row>
    <row r="697" spans="1:8">
      <c r="A697">
        <v>10699</v>
      </c>
      <c r="B697" s="1">
        <v>45960</v>
      </c>
      <c r="C697">
        <v>1421.25</v>
      </c>
      <c r="D697">
        <v>60</v>
      </c>
      <c r="E697" t="s">
        <v>89</v>
      </c>
      <c r="F697" t="s">
        <v>9</v>
      </c>
      <c r="G697" t="s">
        <v>10</v>
      </c>
      <c r="H697">
        <v>10</v>
      </c>
    </row>
    <row r="698" spans="1:8">
      <c r="A698">
        <v>10700</v>
      </c>
      <c r="B698" s="1">
        <v>45942</v>
      </c>
      <c r="C698">
        <v>5419.5</v>
      </c>
      <c r="D698">
        <v>22</v>
      </c>
      <c r="E698" t="s">
        <v>60</v>
      </c>
      <c r="F698" t="s">
        <v>18</v>
      </c>
      <c r="G698" t="s">
        <v>10</v>
      </c>
      <c r="H698">
        <v>10</v>
      </c>
    </row>
    <row r="699" spans="1:8">
      <c r="A699">
        <v>10701</v>
      </c>
      <c r="B699" s="1">
        <v>45938</v>
      </c>
      <c r="C699">
        <v>1139.25</v>
      </c>
      <c r="D699">
        <v>51</v>
      </c>
      <c r="E699" t="s">
        <v>36</v>
      </c>
      <c r="F699" t="s">
        <v>9</v>
      </c>
      <c r="G699" t="s">
        <v>19</v>
      </c>
      <c r="H699">
        <v>10</v>
      </c>
    </row>
    <row r="700" spans="1:8">
      <c r="A700">
        <v>10702</v>
      </c>
      <c r="B700" s="1">
        <v>45953</v>
      </c>
      <c r="C700">
        <v>4355.75</v>
      </c>
      <c r="D700">
        <v>23</v>
      </c>
      <c r="E700" t="s">
        <v>88</v>
      </c>
      <c r="F700" t="s">
        <v>18</v>
      </c>
      <c r="G700" t="s">
        <v>10</v>
      </c>
      <c r="H700">
        <v>10</v>
      </c>
    </row>
    <row r="701" spans="1:8">
      <c r="A701">
        <v>10704</v>
      </c>
      <c r="B701" s="1">
        <v>45953</v>
      </c>
      <c r="C701">
        <v>8264.25</v>
      </c>
      <c r="D701">
        <v>24</v>
      </c>
      <c r="E701" t="s">
        <v>72</v>
      </c>
      <c r="F701" t="s">
        <v>18</v>
      </c>
      <c r="G701" t="s">
        <v>12</v>
      </c>
      <c r="H701">
        <v>10</v>
      </c>
    </row>
    <row r="702" spans="1:8">
      <c r="A702">
        <v>10705</v>
      </c>
      <c r="B702" s="1">
        <v>45951</v>
      </c>
      <c r="C702">
        <v>10493</v>
      </c>
      <c r="D702">
        <v>4</v>
      </c>
      <c r="E702" t="s">
        <v>26</v>
      </c>
      <c r="F702" t="s">
        <v>18</v>
      </c>
      <c r="G702" t="s">
        <v>16</v>
      </c>
      <c r="H702">
        <v>10</v>
      </c>
    </row>
    <row r="703" spans="1:8">
      <c r="A703">
        <v>10706</v>
      </c>
      <c r="B703" s="1">
        <v>45935</v>
      </c>
      <c r="C703">
        <v>645</v>
      </c>
      <c r="D703">
        <v>40</v>
      </c>
      <c r="E703" t="s">
        <v>58</v>
      </c>
      <c r="F703" t="s">
        <v>9</v>
      </c>
      <c r="G703" t="s">
        <v>19</v>
      </c>
      <c r="H703">
        <v>10</v>
      </c>
    </row>
    <row r="704" spans="1:8">
      <c r="A704">
        <v>10707</v>
      </c>
      <c r="B704" s="1">
        <v>45943</v>
      </c>
      <c r="C704">
        <v>1461.5</v>
      </c>
      <c r="D704">
        <v>47</v>
      </c>
      <c r="E704" t="s">
        <v>68</v>
      </c>
      <c r="F704" t="s">
        <v>9</v>
      </c>
      <c r="G704" t="s">
        <v>19</v>
      </c>
      <c r="H704">
        <v>10</v>
      </c>
    </row>
    <row r="705" spans="1:8">
      <c r="A705">
        <v>10708</v>
      </c>
      <c r="B705" s="1">
        <v>45947</v>
      </c>
      <c r="C705">
        <v>11625.5</v>
      </c>
      <c r="D705">
        <v>16</v>
      </c>
      <c r="E705" t="s">
        <v>21</v>
      </c>
      <c r="F705" t="s">
        <v>18</v>
      </c>
      <c r="G705" t="s">
        <v>10</v>
      </c>
      <c r="H705">
        <v>10</v>
      </c>
    </row>
    <row r="706" spans="1:8">
      <c r="A706">
        <v>10709</v>
      </c>
      <c r="B706" s="1">
        <v>45957</v>
      </c>
      <c r="C706">
        <v>2556</v>
      </c>
      <c r="D706">
        <v>62</v>
      </c>
      <c r="E706" t="s">
        <v>28</v>
      </c>
      <c r="F706" t="s">
        <v>9</v>
      </c>
      <c r="G706" t="s">
        <v>10</v>
      </c>
      <c r="H706">
        <v>10</v>
      </c>
    </row>
    <row r="707" spans="1:8">
      <c r="A707">
        <v>10710</v>
      </c>
      <c r="B707" s="1">
        <v>45949</v>
      </c>
      <c r="C707">
        <v>10255</v>
      </c>
      <c r="D707">
        <v>4</v>
      </c>
      <c r="E707" t="s">
        <v>26</v>
      </c>
      <c r="F707" t="s">
        <v>18</v>
      </c>
      <c r="G707" t="s">
        <v>16</v>
      </c>
      <c r="H707">
        <v>10</v>
      </c>
    </row>
    <row r="708" spans="1:8">
      <c r="A708">
        <v>10711</v>
      </c>
      <c r="B708" s="1">
        <v>45956</v>
      </c>
      <c r="C708">
        <v>9652</v>
      </c>
      <c r="D708">
        <v>29</v>
      </c>
      <c r="E708" t="s">
        <v>23</v>
      </c>
      <c r="F708" t="s">
        <v>18</v>
      </c>
      <c r="G708" t="s">
        <v>10</v>
      </c>
      <c r="H708">
        <v>10</v>
      </c>
    </row>
    <row r="709" spans="1:8">
      <c r="A709">
        <v>10712</v>
      </c>
      <c r="B709" s="1">
        <v>45941</v>
      </c>
      <c r="C709">
        <v>7246</v>
      </c>
      <c r="D709">
        <v>3</v>
      </c>
      <c r="E709" t="s">
        <v>27</v>
      </c>
      <c r="F709" t="s">
        <v>18</v>
      </c>
      <c r="G709" t="s">
        <v>12</v>
      </c>
      <c r="H709">
        <v>10</v>
      </c>
    </row>
    <row r="710" spans="1:8">
      <c r="A710">
        <v>10713</v>
      </c>
      <c r="B710" s="1">
        <v>45953</v>
      </c>
      <c r="C710">
        <v>2721.5</v>
      </c>
      <c r="D710">
        <v>72</v>
      </c>
      <c r="E710" t="s">
        <v>76</v>
      </c>
      <c r="F710" t="s">
        <v>9</v>
      </c>
      <c r="G710" t="s">
        <v>12</v>
      </c>
      <c r="H710">
        <v>10</v>
      </c>
    </row>
    <row r="711" spans="1:8">
      <c r="A711">
        <v>10714</v>
      </c>
      <c r="B711" s="1">
        <v>45955</v>
      </c>
      <c r="C711">
        <v>16938.5</v>
      </c>
      <c r="D711">
        <v>22</v>
      </c>
      <c r="E711" t="s">
        <v>60</v>
      </c>
      <c r="F711" t="s">
        <v>18</v>
      </c>
      <c r="G711" t="s">
        <v>10</v>
      </c>
      <c r="H711">
        <v>10</v>
      </c>
    </row>
    <row r="712" spans="1:8">
      <c r="A712">
        <v>10715</v>
      </c>
      <c r="B712" s="1">
        <v>45939</v>
      </c>
      <c r="C712">
        <v>7452.5</v>
      </c>
      <c r="D712">
        <v>25</v>
      </c>
      <c r="E712" t="s">
        <v>67</v>
      </c>
      <c r="F712" t="s">
        <v>18</v>
      </c>
      <c r="G712" t="s">
        <v>10</v>
      </c>
      <c r="H712">
        <v>10</v>
      </c>
    </row>
    <row r="713" spans="1:8">
      <c r="A713">
        <v>10716</v>
      </c>
      <c r="B713" s="1">
        <v>45950</v>
      </c>
      <c r="C713">
        <v>2044.75</v>
      </c>
      <c r="D713">
        <v>74</v>
      </c>
      <c r="E713" t="s">
        <v>32</v>
      </c>
      <c r="F713" t="s">
        <v>9</v>
      </c>
      <c r="G713" t="s">
        <v>16</v>
      </c>
      <c r="H713">
        <v>10</v>
      </c>
    </row>
    <row r="714" spans="1:8">
      <c r="A714">
        <v>10717</v>
      </c>
      <c r="B714" s="1">
        <v>45949</v>
      </c>
      <c r="C714">
        <v>2595.25</v>
      </c>
      <c r="D714">
        <v>39</v>
      </c>
      <c r="E714" t="s">
        <v>25</v>
      </c>
      <c r="F714" t="s">
        <v>9</v>
      </c>
      <c r="G714" t="s">
        <v>19</v>
      </c>
      <c r="H714">
        <v>10</v>
      </c>
    </row>
    <row r="715" spans="1:8">
      <c r="A715">
        <v>10718</v>
      </c>
      <c r="B715" s="1">
        <v>45943</v>
      </c>
      <c r="C715">
        <v>2437.75</v>
      </c>
      <c r="D715">
        <v>65</v>
      </c>
      <c r="E715" t="s">
        <v>69</v>
      </c>
      <c r="F715" t="s">
        <v>9</v>
      </c>
      <c r="G715" t="s">
        <v>19</v>
      </c>
      <c r="H715">
        <v>10</v>
      </c>
    </row>
    <row r="716" spans="1:8">
      <c r="A716">
        <v>10719</v>
      </c>
      <c r="B716" s="1">
        <v>45940</v>
      </c>
      <c r="C716">
        <v>3212</v>
      </c>
      <c r="D716">
        <v>27</v>
      </c>
      <c r="E716" t="s">
        <v>34</v>
      </c>
      <c r="F716" t="s">
        <v>18</v>
      </c>
      <c r="G716" t="s">
        <v>19</v>
      </c>
      <c r="H716">
        <v>10</v>
      </c>
    </row>
    <row r="717" spans="1:8">
      <c r="A717">
        <v>10720</v>
      </c>
      <c r="B717" s="1">
        <v>45946</v>
      </c>
      <c r="C717">
        <v>786</v>
      </c>
      <c r="D717">
        <v>34</v>
      </c>
      <c r="E717" t="s">
        <v>24</v>
      </c>
      <c r="F717" t="s">
        <v>9</v>
      </c>
      <c r="G717" t="s">
        <v>10</v>
      </c>
      <c r="H717">
        <v>10</v>
      </c>
    </row>
    <row r="718" spans="1:8">
      <c r="A718">
        <v>10721</v>
      </c>
      <c r="B718" s="1">
        <v>45933</v>
      </c>
      <c r="C718">
        <v>16461.25</v>
      </c>
      <c r="D718">
        <v>1</v>
      </c>
      <c r="E718" t="s">
        <v>54</v>
      </c>
      <c r="F718" t="s">
        <v>18</v>
      </c>
      <c r="G718" t="s">
        <v>19</v>
      </c>
      <c r="H718">
        <v>10</v>
      </c>
    </row>
    <row r="719" spans="1:8">
      <c r="A719">
        <v>10722</v>
      </c>
      <c r="B719" s="1">
        <v>45950</v>
      </c>
      <c r="C719">
        <v>6216.75</v>
      </c>
      <c r="D719">
        <v>16</v>
      </c>
      <c r="E719" t="s">
        <v>21</v>
      </c>
      <c r="F719" t="s">
        <v>18</v>
      </c>
      <c r="G719" t="s">
        <v>10</v>
      </c>
      <c r="H719">
        <v>10</v>
      </c>
    </row>
    <row r="720" spans="1:8">
      <c r="A720">
        <v>10723</v>
      </c>
      <c r="B720" s="1">
        <v>45935</v>
      </c>
      <c r="C720">
        <v>2479</v>
      </c>
      <c r="D720">
        <v>46</v>
      </c>
      <c r="E720" t="s">
        <v>15</v>
      </c>
      <c r="F720" t="s">
        <v>9</v>
      </c>
      <c r="G720" t="s">
        <v>16</v>
      </c>
      <c r="H720">
        <v>10</v>
      </c>
    </row>
    <row r="721" spans="1:8">
      <c r="A721">
        <v>10724</v>
      </c>
      <c r="B721" s="1">
        <v>45934</v>
      </c>
      <c r="C721">
        <v>2188.5</v>
      </c>
      <c r="D721">
        <v>45</v>
      </c>
      <c r="E721" t="s">
        <v>62</v>
      </c>
      <c r="F721" t="s">
        <v>9</v>
      </c>
      <c r="G721" t="s">
        <v>10</v>
      </c>
      <c r="H721">
        <v>10</v>
      </c>
    </row>
    <row r="722" spans="1:8">
      <c r="A722">
        <v>10725</v>
      </c>
      <c r="B722" s="1">
        <v>45950</v>
      </c>
      <c r="C722">
        <v>648.5</v>
      </c>
      <c r="D722">
        <v>68</v>
      </c>
      <c r="E722" t="s">
        <v>81</v>
      </c>
      <c r="F722" t="s">
        <v>9</v>
      </c>
      <c r="G722" t="s">
        <v>57</v>
      </c>
      <c r="H722">
        <v>10</v>
      </c>
    </row>
    <row r="723" spans="1:8">
      <c r="A723">
        <v>10726</v>
      </c>
      <c r="B723" s="1">
        <v>45949</v>
      </c>
      <c r="C723">
        <v>1501</v>
      </c>
      <c r="D723">
        <v>45</v>
      </c>
      <c r="E723" t="s">
        <v>62</v>
      </c>
      <c r="F723" t="s">
        <v>9</v>
      </c>
      <c r="G723" t="s">
        <v>10</v>
      </c>
      <c r="H723">
        <v>10</v>
      </c>
    </row>
    <row r="724" spans="1:8">
      <c r="A724">
        <v>10727</v>
      </c>
      <c r="B724" s="1">
        <v>45936</v>
      </c>
      <c r="C724">
        <v>11748.75</v>
      </c>
      <c r="D724">
        <v>2</v>
      </c>
      <c r="E724" t="s">
        <v>46</v>
      </c>
      <c r="F724" t="s">
        <v>18</v>
      </c>
      <c r="G724" t="s">
        <v>10</v>
      </c>
      <c r="H724">
        <v>10</v>
      </c>
    </row>
    <row r="725" spans="1:8">
      <c r="A725">
        <v>10728</v>
      </c>
      <c r="B725" s="1">
        <v>45941</v>
      </c>
      <c r="C725">
        <v>3095.75</v>
      </c>
      <c r="D725">
        <v>21</v>
      </c>
      <c r="E725" t="s">
        <v>37</v>
      </c>
      <c r="F725" t="s">
        <v>18</v>
      </c>
      <c r="G725" t="s">
        <v>16</v>
      </c>
      <c r="H725">
        <v>10</v>
      </c>
    </row>
    <row r="726" spans="1:8">
      <c r="A726">
        <v>10729</v>
      </c>
      <c r="B726" s="1">
        <v>45931</v>
      </c>
      <c r="C726">
        <v>411.75</v>
      </c>
      <c r="D726">
        <v>31</v>
      </c>
      <c r="E726" t="s">
        <v>77</v>
      </c>
      <c r="F726" t="s">
        <v>9</v>
      </c>
      <c r="G726" t="s">
        <v>16</v>
      </c>
      <c r="H726">
        <v>10</v>
      </c>
    </row>
    <row r="727" spans="1:8">
      <c r="A727">
        <v>10730</v>
      </c>
      <c r="B727" s="1">
        <v>45934</v>
      </c>
      <c r="C727">
        <v>1843.75</v>
      </c>
      <c r="D727">
        <v>60</v>
      </c>
      <c r="E727" t="s">
        <v>89</v>
      </c>
      <c r="F727" t="s">
        <v>9</v>
      </c>
      <c r="G727" t="s">
        <v>10</v>
      </c>
      <c r="H727">
        <v>10</v>
      </c>
    </row>
    <row r="728" spans="1:8">
      <c r="A728">
        <v>10731</v>
      </c>
      <c r="B728" s="1">
        <v>45942</v>
      </c>
      <c r="C728">
        <v>1589.25</v>
      </c>
      <c r="D728">
        <v>63</v>
      </c>
      <c r="E728" t="s">
        <v>55</v>
      </c>
      <c r="F728" t="s">
        <v>9</v>
      </c>
      <c r="G728" t="s">
        <v>10</v>
      </c>
      <c r="H728">
        <v>10</v>
      </c>
    </row>
    <row r="729" spans="1:8">
      <c r="A729">
        <v>10732</v>
      </c>
      <c r="B729" s="1">
        <v>45943</v>
      </c>
      <c r="C729">
        <v>1601.75</v>
      </c>
      <c r="D729">
        <v>54</v>
      </c>
      <c r="E729" t="s">
        <v>53</v>
      </c>
      <c r="F729" t="s">
        <v>9</v>
      </c>
      <c r="G729" t="s">
        <v>12</v>
      </c>
      <c r="H729">
        <v>10</v>
      </c>
    </row>
    <row r="730" spans="1:8">
      <c r="A730">
        <v>10733</v>
      </c>
      <c r="B730" s="1">
        <v>45948</v>
      </c>
      <c r="C730">
        <v>1660</v>
      </c>
      <c r="D730">
        <v>36</v>
      </c>
      <c r="E730" t="s">
        <v>83</v>
      </c>
      <c r="F730" t="s">
        <v>9</v>
      </c>
      <c r="G730" t="s">
        <v>16</v>
      </c>
      <c r="H730">
        <v>10</v>
      </c>
    </row>
    <row r="731" spans="1:8">
      <c r="A731">
        <v>10734</v>
      </c>
      <c r="B731" s="1">
        <v>45943</v>
      </c>
      <c r="C731">
        <v>17920.25</v>
      </c>
      <c r="D731">
        <v>28</v>
      </c>
      <c r="E731" t="s">
        <v>79</v>
      </c>
      <c r="F731" t="s">
        <v>18</v>
      </c>
      <c r="G731" t="s">
        <v>12</v>
      </c>
      <c r="H731">
        <v>10</v>
      </c>
    </row>
    <row r="732" spans="1:8">
      <c r="A732">
        <v>10735</v>
      </c>
      <c r="B732" s="1">
        <v>45956</v>
      </c>
      <c r="C732">
        <v>2668</v>
      </c>
      <c r="D732">
        <v>46</v>
      </c>
      <c r="E732" t="s">
        <v>15</v>
      </c>
      <c r="F732" t="s">
        <v>9</v>
      </c>
      <c r="G732" t="s">
        <v>16</v>
      </c>
      <c r="H732">
        <v>10</v>
      </c>
    </row>
    <row r="733" spans="1:8">
      <c r="A733">
        <v>10736</v>
      </c>
      <c r="B733" s="1">
        <v>45955</v>
      </c>
      <c r="C733">
        <v>672.5</v>
      </c>
      <c r="D733">
        <v>59</v>
      </c>
      <c r="E733" t="s">
        <v>86</v>
      </c>
      <c r="F733" t="s">
        <v>9</v>
      </c>
      <c r="G733" t="s">
        <v>16</v>
      </c>
      <c r="H733">
        <v>10</v>
      </c>
    </row>
    <row r="734" spans="1:8">
      <c r="A734">
        <v>10737</v>
      </c>
      <c r="B734" s="1">
        <v>45961</v>
      </c>
      <c r="C734">
        <v>697.5</v>
      </c>
      <c r="D734">
        <v>69</v>
      </c>
      <c r="E734" t="s">
        <v>44</v>
      </c>
      <c r="F734" t="s">
        <v>9</v>
      </c>
      <c r="G734" t="s">
        <v>19</v>
      </c>
      <c r="H734">
        <v>10</v>
      </c>
    </row>
    <row r="735" spans="1:8">
      <c r="A735">
        <v>10738</v>
      </c>
      <c r="B735" s="1">
        <v>45932</v>
      </c>
      <c r="C735">
        <v>1418.25</v>
      </c>
      <c r="D735">
        <v>35</v>
      </c>
      <c r="E735" t="s">
        <v>40</v>
      </c>
      <c r="F735" t="s">
        <v>9</v>
      </c>
      <c r="G735" t="s">
        <v>10</v>
      </c>
      <c r="H735">
        <v>10</v>
      </c>
    </row>
    <row r="736" spans="1:8">
      <c r="A736">
        <v>10739</v>
      </c>
      <c r="B736" s="1">
        <v>45936</v>
      </c>
      <c r="C736">
        <v>16122.25</v>
      </c>
      <c r="D736">
        <v>28</v>
      </c>
      <c r="E736" t="s">
        <v>79</v>
      </c>
      <c r="F736" t="s">
        <v>18</v>
      </c>
      <c r="G736" t="s">
        <v>12</v>
      </c>
      <c r="H736">
        <v>10</v>
      </c>
    </row>
    <row r="737" spans="1:8">
      <c r="A737">
        <v>10740</v>
      </c>
      <c r="B737" s="1">
        <v>45948</v>
      </c>
      <c r="C737">
        <v>2250</v>
      </c>
      <c r="D737">
        <v>70</v>
      </c>
      <c r="E737" t="s">
        <v>87</v>
      </c>
      <c r="F737" t="s">
        <v>9</v>
      </c>
      <c r="G737" t="s">
        <v>12</v>
      </c>
      <c r="H737">
        <v>10</v>
      </c>
    </row>
    <row r="738" spans="1:8">
      <c r="A738">
        <v>10741</v>
      </c>
      <c r="B738" s="1">
        <v>45940</v>
      </c>
      <c r="C738">
        <v>3935.25</v>
      </c>
      <c r="D738">
        <v>7</v>
      </c>
      <c r="E738" t="s">
        <v>66</v>
      </c>
      <c r="F738" t="s">
        <v>18</v>
      </c>
      <c r="G738" t="s">
        <v>10</v>
      </c>
      <c r="H738">
        <v>10</v>
      </c>
    </row>
    <row r="739" spans="1:8">
      <c r="A739">
        <v>10742</v>
      </c>
      <c r="B739" s="1">
        <v>45932</v>
      </c>
      <c r="C739">
        <v>2000.25</v>
      </c>
      <c r="D739">
        <v>39</v>
      </c>
      <c r="E739" t="s">
        <v>25</v>
      </c>
      <c r="F739" t="s">
        <v>9</v>
      </c>
      <c r="G739" t="s">
        <v>19</v>
      </c>
      <c r="H739">
        <v>10</v>
      </c>
    </row>
    <row r="740" spans="1:8">
      <c r="A740">
        <v>10743</v>
      </c>
      <c r="B740" s="1">
        <v>45949</v>
      </c>
      <c r="C740">
        <v>1742.25</v>
      </c>
      <c r="D740">
        <v>32</v>
      </c>
      <c r="E740" t="s">
        <v>65</v>
      </c>
      <c r="F740" t="s">
        <v>9</v>
      </c>
      <c r="G740" t="s">
        <v>12</v>
      </c>
      <c r="H740">
        <v>10</v>
      </c>
    </row>
    <row r="741" spans="1:8">
      <c r="A741">
        <v>10744</v>
      </c>
      <c r="B741" s="1">
        <v>45931</v>
      </c>
      <c r="C741">
        <v>14268.5</v>
      </c>
      <c r="D741">
        <v>18</v>
      </c>
      <c r="E741" t="s">
        <v>71</v>
      </c>
      <c r="F741" t="s">
        <v>18</v>
      </c>
      <c r="G741" t="s">
        <v>10</v>
      </c>
      <c r="H741">
        <v>10</v>
      </c>
    </row>
    <row r="742" spans="1:8">
      <c r="A742">
        <v>10745</v>
      </c>
      <c r="B742" s="1">
        <v>45958</v>
      </c>
      <c r="C742">
        <v>12840.75</v>
      </c>
      <c r="D742">
        <v>27</v>
      </c>
      <c r="E742" t="s">
        <v>34</v>
      </c>
      <c r="F742" t="s">
        <v>18</v>
      </c>
      <c r="G742" t="s">
        <v>19</v>
      </c>
      <c r="H742">
        <v>10</v>
      </c>
    </row>
    <row r="743" spans="1:8">
      <c r="A743">
        <v>10746</v>
      </c>
      <c r="B743" s="1">
        <v>45950</v>
      </c>
      <c r="C743">
        <v>17679.75</v>
      </c>
      <c r="D743">
        <v>19</v>
      </c>
      <c r="E743" t="s">
        <v>38</v>
      </c>
      <c r="F743" t="s">
        <v>18</v>
      </c>
      <c r="G743" t="s">
        <v>10</v>
      </c>
      <c r="H743">
        <v>10</v>
      </c>
    </row>
    <row r="744" spans="1:8">
      <c r="A744">
        <v>10747</v>
      </c>
      <c r="B744" s="1">
        <v>45934</v>
      </c>
      <c r="C744">
        <v>7833.25</v>
      </c>
      <c r="D744">
        <v>16</v>
      </c>
      <c r="E744" t="s">
        <v>21</v>
      </c>
      <c r="F744" t="s">
        <v>18</v>
      </c>
      <c r="G744" t="s">
        <v>10</v>
      </c>
      <c r="H744">
        <v>10</v>
      </c>
    </row>
    <row r="745" spans="1:8">
      <c r="A745">
        <v>10748</v>
      </c>
      <c r="B745" s="1">
        <v>45943</v>
      </c>
      <c r="C745">
        <v>2207.5</v>
      </c>
      <c r="D745">
        <v>13</v>
      </c>
      <c r="E745" t="s">
        <v>50</v>
      </c>
      <c r="F745" t="s">
        <v>18</v>
      </c>
      <c r="G745" t="s">
        <v>12</v>
      </c>
      <c r="H745">
        <v>10</v>
      </c>
    </row>
    <row r="746" spans="1:8">
      <c r="A746">
        <v>10749</v>
      </c>
      <c r="B746" s="1">
        <v>45954</v>
      </c>
      <c r="C746">
        <v>2518</v>
      </c>
      <c r="D746">
        <v>49</v>
      </c>
      <c r="E746" t="s">
        <v>29</v>
      </c>
      <c r="F746" t="s">
        <v>9</v>
      </c>
      <c r="G746" t="s">
        <v>19</v>
      </c>
      <c r="H746">
        <v>10</v>
      </c>
    </row>
    <row r="747" spans="1:8">
      <c r="A747">
        <v>10750</v>
      </c>
      <c r="B747" s="1">
        <v>45945</v>
      </c>
      <c r="C747">
        <v>15205</v>
      </c>
      <c r="D747">
        <v>28</v>
      </c>
      <c r="E747" t="s">
        <v>79</v>
      </c>
      <c r="F747" t="s">
        <v>18</v>
      </c>
      <c r="G747" t="s">
        <v>12</v>
      </c>
      <c r="H747">
        <v>10</v>
      </c>
    </row>
    <row r="748" spans="1:8">
      <c r="A748">
        <v>10751</v>
      </c>
      <c r="B748" s="1">
        <v>45959</v>
      </c>
      <c r="C748">
        <v>2589.25</v>
      </c>
      <c r="D748">
        <v>70</v>
      </c>
      <c r="E748" t="s">
        <v>87</v>
      </c>
      <c r="F748" t="s">
        <v>9</v>
      </c>
      <c r="G748" t="s">
        <v>12</v>
      </c>
      <c r="H748">
        <v>10</v>
      </c>
    </row>
    <row r="749" spans="1:8">
      <c r="A749">
        <v>10752</v>
      </c>
      <c r="B749" s="1">
        <v>45932</v>
      </c>
      <c r="C749">
        <v>7275.25</v>
      </c>
      <c r="D749">
        <v>2</v>
      </c>
      <c r="E749" t="s">
        <v>46</v>
      </c>
      <c r="F749" t="s">
        <v>18</v>
      </c>
      <c r="G749" t="s">
        <v>10</v>
      </c>
      <c r="H749">
        <v>10</v>
      </c>
    </row>
    <row r="750" spans="1:8">
      <c r="A750">
        <v>10753</v>
      </c>
      <c r="B750" s="1">
        <v>45937</v>
      </c>
      <c r="C750">
        <v>1339.5</v>
      </c>
      <c r="D750">
        <v>42</v>
      </c>
      <c r="E750" t="s">
        <v>8</v>
      </c>
      <c r="F750" t="s">
        <v>9</v>
      </c>
      <c r="G750" t="s">
        <v>10</v>
      </c>
      <c r="H750">
        <v>10</v>
      </c>
    </row>
    <row r="751" spans="1:8">
      <c r="A751">
        <v>10754</v>
      </c>
      <c r="B751" s="1">
        <v>45957</v>
      </c>
      <c r="C751">
        <v>1037.75</v>
      </c>
      <c r="D751">
        <v>52</v>
      </c>
      <c r="E751" t="s">
        <v>61</v>
      </c>
      <c r="F751" t="s">
        <v>9</v>
      </c>
      <c r="G751" t="s">
        <v>12</v>
      </c>
      <c r="H751">
        <v>10</v>
      </c>
    </row>
    <row r="752" spans="1:8">
      <c r="A752">
        <v>10755</v>
      </c>
      <c r="B752" s="1">
        <v>45934</v>
      </c>
      <c r="C752">
        <v>6354.75</v>
      </c>
      <c r="D752">
        <v>9</v>
      </c>
      <c r="E752" t="s">
        <v>56</v>
      </c>
      <c r="F752" t="s">
        <v>18</v>
      </c>
      <c r="G752" t="s">
        <v>57</v>
      </c>
      <c r="H752">
        <v>10</v>
      </c>
    </row>
    <row r="753" spans="1:8">
      <c r="A753">
        <v>10756</v>
      </c>
      <c r="B753" s="1">
        <v>45931</v>
      </c>
      <c r="C753">
        <v>1730.25</v>
      </c>
      <c r="D753">
        <v>33</v>
      </c>
      <c r="E753" t="s">
        <v>20</v>
      </c>
      <c r="F753" t="s">
        <v>9</v>
      </c>
      <c r="G753" t="s">
        <v>10</v>
      </c>
      <c r="H753">
        <v>10</v>
      </c>
    </row>
    <row r="754" spans="1:8">
      <c r="A754">
        <v>10757</v>
      </c>
      <c r="B754" s="1">
        <v>45960</v>
      </c>
      <c r="C754">
        <v>4765.5</v>
      </c>
      <c r="D754">
        <v>19</v>
      </c>
      <c r="E754" t="s">
        <v>38</v>
      </c>
      <c r="F754" t="s">
        <v>18</v>
      </c>
      <c r="G754" t="s">
        <v>10</v>
      </c>
      <c r="H754">
        <v>10</v>
      </c>
    </row>
    <row r="755" spans="1:8">
      <c r="A755">
        <v>10758</v>
      </c>
      <c r="B755" s="1">
        <v>45956</v>
      </c>
      <c r="C755">
        <v>1283</v>
      </c>
      <c r="D755">
        <v>42</v>
      </c>
      <c r="E755" t="s">
        <v>8</v>
      </c>
      <c r="F755" t="s">
        <v>9</v>
      </c>
      <c r="G755" t="s">
        <v>10</v>
      </c>
      <c r="H755">
        <v>10</v>
      </c>
    </row>
    <row r="756" spans="1:8">
      <c r="A756">
        <v>10759</v>
      </c>
      <c r="B756" s="1">
        <v>45942</v>
      </c>
      <c r="C756">
        <v>17209.5</v>
      </c>
      <c r="D756">
        <v>3</v>
      </c>
      <c r="E756" t="s">
        <v>27</v>
      </c>
      <c r="F756" t="s">
        <v>18</v>
      </c>
      <c r="G756" t="s">
        <v>12</v>
      </c>
      <c r="H756">
        <v>10</v>
      </c>
    </row>
    <row r="757" spans="1:8">
      <c r="A757">
        <v>10760</v>
      </c>
      <c r="B757" s="1">
        <v>45957</v>
      </c>
      <c r="C757">
        <v>8860.75</v>
      </c>
      <c r="D757">
        <v>29</v>
      </c>
      <c r="E757" t="s">
        <v>23</v>
      </c>
      <c r="F757" t="s">
        <v>18</v>
      </c>
      <c r="G757" t="s">
        <v>10</v>
      </c>
      <c r="H757">
        <v>10</v>
      </c>
    </row>
    <row r="758" spans="1:8">
      <c r="A758">
        <v>10761</v>
      </c>
      <c r="B758" s="1">
        <v>45956</v>
      </c>
      <c r="C758">
        <v>738</v>
      </c>
      <c r="D758">
        <v>62</v>
      </c>
      <c r="E758" t="s">
        <v>28</v>
      </c>
      <c r="F758" t="s">
        <v>9</v>
      </c>
      <c r="G758" t="s">
        <v>10</v>
      </c>
      <c r="H758">
        <v>10</v>
      </c>
    </row>
    <row r="759" spans="1:8">
      <c r="A759">
        <v>10762</v>
      </c>
      <c r="B759" s="1">
        <v>45938</v>
      </c>
      <c r="C759">
        <v>1065</v>
      </c>
      <c r="D759">
        <v>58</v>
      </c>
      <c r="E759" t="s">
        <v>84</v>
      </c>
      <c r="F759" t="s">
        <v>9</v>
      </c>
      <c r="G759" t="s">
        <v>10</v>
      </c>
      <c r="H759">
        <v>10</v>
      </c>
    </row>
    <row r="760" spans="1:8">
      <c r="A760">
        <v>10763</v>
      </c>
      <c r="B760" s="1">
        <v>45944</v>
      </c>
      <c r="C760">
        <v>17569</v>
      </c>
      <c r="D760">
        <v>3</v>
      </c>
      <c r="E760" t="s">
        <v>27</v>
      </c>
      <c r="F760" t="s">
        <v>18</v>
      </c>
      <c r="G760" t="s">
        <v>12</v>
      </c>
      <c r="H760">
        <v>10</v>
      </c>
    </row>
    <row r="761" spans="1:8">
      <c r="A761">
        <v>10764</v>
      </c>
      <c r="B761" s="1">
        <v>45941</v>
      </c>
      <c r="C761">
        <v>10422.75</v>
      </c>
      <c r="D761">
        <v>20</v>
      </c>
      <c r="E761" t="s">
        <v>30</v>
      </c>
      <c r="F761" t="s">
        <v>18</v>
      </c>
      <c r="G761" t="s">
        <v>10</v>
      </c>
      <c r="H761">
        <v>10</v>
      </c>
    </row>
    <row r="762" spans="1:8">
      <c r="A762">
        <v>10765</v>
      </c>
      <c r="B762" s="1">
        <v>45941</v>
      </c>
      <c r="C762">
        <v>15126.5</v>
      </c>
      <c r="D762">
        <v>4</v>
      </c>
      <c r="E762" t="s">
        <v>26</v>
      </c>
      <c r="F762" t="s">
        <v>18</v>
      </c>
      <c r="G762" t="s">
        <v>16</v>
      </c>
      <c r="H762">
        <v>10</v>
      </c>
    </row>
    <row r="763" spans="1:8">
      <c r="A763">
        <v>10766</v>
      </c>
      <c r="B763" s="1">
        <v>45959</v>
      </c>
      <c r="C763">
        <v>315.25</v>
      </c>
      <c r="D763">
        <v>60</v>
      </c>
      <c r="E763" t="s">
        <v>89</v>
      </c>
      <c r="F763" t="s">
        <v>9</v>
      </c>
      <c r="G763" t="s">
        <v>10</v>
      </c>
      <c r="H763">
        <v>10</v>
      </c>
    </row>
    <row r="764" spans="1:8">
      <c r="A764">
        <v>10767</v>
      </c>
      <c r="B764" s="1">
        <v>45949</v>
      </c>
      <c r="C764">
        <v>17739.5</v>
      </c>
      <c r="D764">
        <v>24</v>
      </c>
      <c r="E764" t="s">
        <v>72</v>
      </c>
      <c r="F764" t="s">
        <v>18</v>
      </c>
      <c r="G764" t="s">
        <v>12</v>
      </c>
      <c r="H764">
        <v>10</v>
      </c>
    </row>
    <row r="765" spans="1:8">
      <c r="A765">
        <v>10768</v>
      </c>
      <c r="B765" s="1">
        <v>45947</v>
      </c>
      <c r="C765">
        <v>11582.25</v>
      </c>
      <c r="D765">
        <v>12</v>
      </c>
      <c r="E765" t="s">
        <v>75</v>
      </c>
      <c r="F765" t="s">
        <v>18</v>
      </c>
      <c r="G765" t="s">
        <v>16</v>
      </c>
      <c r="H765">
        <v>10</v>
      </c>
    </row>
    <row r="766" spans="1:8">
      <c r="A766">
        <v>10769</v>
      </c>
      <c r="B766" s="1">
        <v>45958</v>
      </c>
      <c r="C766">
        <v>2460.75</v>
      </c>
      <c r="D766">
        <v>40</v>
      </c>
      <c r="E766" t="s">
        <v>58</v>
      </c>
      <c r="F766" t="s">
        <v>9</v>
      </c>
      <c r="G766" t="s">
        <v>19</v>
      </c>
      <c r="H766">
        <v>10</v>
      </c>
    </row>
    <row r="767" spans="1:8">
      <c r="A767">
        <v>10770</v>
      </c>
      <c r="B767" s="1">
        <v>45950</v>
      </c>
      <c r="C767">
        <v>4940.25</v>
      </c>
      <c r="D767">
        <v>29</v>
      </c>
      <c r="E767" t="s">
        <v>23</v>
      </c>
      <c r="F767" t="s">
        <v>18</v>
      </c>
      <c r="G767" t="s">
        <v>10</v>
      </c>
      <c r="H767">
        <v>10</v>
      </c>
    </row>
    <row r="768" spans="1:8">
      <c r="A768">
        <v>10771</v>
      </c>
      <c r="B768" s="1">
        <v>45936</v>
      </c>
      <c r="C768">
        <v>11270.5</v>
      </c>
      <c r="D768">
        <v>26</v>
      </c>
      <c r="E768" t="s">
        <v>47</v>
      </c>
      <c r="F768" t="s">
        <v>18</v>
      </c>
      <c r="G768" t="s">
        <v>12</v>
      </c>
      <c r="H768">
        <v>10</v>
      </c>
    </row>
    <row r="769" spans="1:8">
      <c r="A769">
        <v>10772</v>
      </c>
      <c r="B769" s="1">
        <v>45961</v>
      </c>
      <c r="C769">
        <v>696.75</v>
      </c>
      <c r="D769">
        <v>35</v>
      </c>
      <c r="E769" t="s">
        <v>40</v>
      </c>
      <c r="F769" t="s">
        <v>9</v>
      </c>
      <c r="G769" t="s">
        <v>10</v>
      </c>
      <c r="H769">
        <v>10</v>
      </c>
    </row>
    <row r="770" spans="1:8">
      <c r="A770">
        <v>10773</v>
      </c>
      <c r="B770" s="1">
        <v>45945</v>
      </c>
      <c r="C770">
        <v>11588.25</v>
      </c>
      <c r="D770">
        <v>21</v>
      </c>
      <c r="E770" t="s">
        <v>37</v>
      </c>
      <c r="F770" t="s">
        <v>18</v>
      </c>
      <c r="G770" t="s">
        <v>16</v>
      </c>
      <c r="H770">
        <v>10</v>
      </c>
    </row>
    <row r="771" spans="1:8">
      <c r="A771">
        <v>10774</v>
      </c>
      <c r="B771" s="1">
        <v>45936</v>
      </c>
      <c r="C771">
        <v>1920.75</v>
      </c>
      <c r="D771">
        <v>63</v>
      </c>
      <c r="E771" t="s">
        <v>55</v>
      </c>
      <c r="F771" t="s">
        <v>9</v>
      </c>
      <c r="G771" t="s">
        <v>10</v>
      </c>
      <c r="H771">
        <v>10</v>
      </c>
    </row>
    <row r="772" spans="1:8">
      <c r="A772">
        <v>10775</v>
      </c>
      <c r="B772" s="1">
        <v>45962</v>
      </c>
      <c r="C772">
        <v>978.5</v>
      </c>
      <c r="D772">
        <v>62</v>
      </c>
      <c r="E772" t="s">
        <v>28</v>
      </c>
      <c r="F772" t="s">
        <v>9</v>
      </c>
      <c r="G772" t="s">
        <v>10</v>
      </c>
      <c r="H772">
        <v>11</v>
      </c>
    </row>
    <row r="773" spans="1:8">
      <c r="A773">
        <v>10776</v>
      </c>
      <c r="B773" s="1">
        <v>45968</v>
      </c>
      <c r="C773">
        <v>11508.5</v>
      </c>
      <c r="D773">
        <v>4</v>
      </c>
      <c r="E773" t="s">
        <v>26</v>
      </c>
      <c r="F773" t="s">
        <v>18</v>
      </c>
      <c r="G773" t="s">
        <v>16</v>
      </c>
      <c r="H773">
        <v>11</v>
      </c>
    </row>
    <row r="774" spans="1:8">
      <c r="A774">
        <v>10777</v>
      </c>
      <c r="B774" s="1">
        <v>45962</v>
      </c>
      <c r="C774">
        <v>364.75</v>
      </c>
      <c r="D774">
        <v>47</v>
      </c>
      <c r="E774" t="s">
        <v>68</v>
      </c>
      <c r="F774" t="s">
        <v>9</v>
      </c>
      <c r="G774" t="s">
        <v>19</v>
      </c>
      <c r="H774">
        <v>11</v>
      </c>
    </row>
    <row r="775" spans="1:8">
      <c r="A775">
        <v>10778</v>
      </c>
      <c r="B775" s="1">
        <v>45976</v>
      </c>
      <c r="C775">
        <v>1507.75</v>
      </c>
      <c r="D775">
        <v>70</v>
      </c>
      <c r="E775" t="s">
        <v>87</v>
      </c>
      <c r="F775" t="s">
        <v>9</v>
      </c>
      <c r="G775" t="s">
        <v>12</v>
      </c>
      <c r="H775">
        <v>11</v>
      </c>
    </row>
    <row r="776" spans="1:8">
      <c r="A776">
        <v>10779</v>
      </c>
      <c r="B776" s="1">
        <v>45967</v>
      </c>
      <c r="C776">
        <v>2897.5</v>
      </c>
      <c r="D776">
        <v>23</v>
      </c>
      <c r="E776" t="s">
        <v>88</v>
      </c>
      <c r="F776" t="s">
        <v>18</v>
      </c>
      <c r="G776" t="s">
        <v>10</v>
      </c>
      <c r="H776">
        <v>11</v>
      </c>
    </row>
    <row r="777" spans="1:8">
      <c r="A777">
        <v>10780</v>
      </c>
      <c r="B777" s="1">
        <v>45987</v>
      </c>
      <c r="C777">
        <v>5712.25</v>
      </c>
      <c r="D777">
        <v>22</v>
      </c>
      <c r="E777" t="s">
        <v>60</v>
      </c>
      <c r="F777" t="s">
        <v>18</v>
      </c>
      <c r="G777" t="s">
        <v>10</v>
      </c>
      <c r="H777">
        <v>11</v>
      </c>
    </row>
    <row r="778" spans="1:8">
      <c r="A778">
        <v>10781</v>
      </c>
      <c r="B778" s="1">
        <v>45988</v>
      </c>
      <c r="C778">
        <v>8137</v>
      </c>
      <c r="D778">
        <v>26</v>
      </c>
      <c r="E778" t="s">
        <v>47</v>
      </c>
      <c r="F778" t="s">
        <v>18</v>
      </c>
      <c r="G778" t="s">
        <v>12</v>
      </c>
      <c r="H778">
        <v>11</v>
      </c>
    </row>
    <row r="779" spans="1:8">
      <c r="A779">
        <v>10782</v>
      </c>
      <c r="B779" s="1">
        <v>45976</v>
      </c>
      <c r="C779">
        <v>2354</v>
      </c>
      <c r="D779">
        <v>39</v>
      </c>
      <c r="E779" t="s">
        <v>25</v>
      </c>
      <c r="F779" t="s">
        <v>9</v>
      </c>
      <c r="G779" t="s">
        <v>19</v>
      </c>
      <c r="H779">
        <v>11</v>
      </c>
    </row>
    <row r="780" spans="1:8">
      <c r="A780">
        <v>10783</v>
      </c>
      <c r="B780" s="1">
        <v>45987</v>
      </c>
      <c r="C780">
        <v>2598.5</v>
      </c>
      <c r="D780">
        <v>31</v>
      </c>
      <c r="E780" t="s">
        <v>77</v>
      </c>
      <c r="F780" t="s">
        <v>9</v>
      </c>
      <c r="G780" t="s">
        <v>16</v>
      </c>
      <c r="H780">
        <v>11</v>
      </c>
    </row>
    <row r="781" spans="1:8">
      <c r="A781">
        <v>10784</v>
      </c>
      <c r="B781" s="1">
        <v>45976</v>
      </c>
      <c r="C781">
        <v>5175.5</v>
      </c>
      <c r="D781">
        <v>4</v>
      </c>
      <c r="E781" t="s">
        <v>26</v>
      </c>
      <c r="F781" t="s">
        <v>18</v>
      </c>
      <c r="G781" t="s">
        <v>16</v>
      </c>
      <c r="H781">
        <v>11</v>
      </c>
    </row>
    <row r="782" spans="1:8">
      <c r="A782">
        <v>10785</v>
      </c>
      <c r="B782" s="1">
        <v>45985</v>
      </c>
      <c r="C782">
        <v>1061</v>
      </c>
      <c r="D782">
        <v>59</v>
      </c>
      <c r="E782" t="s">
        <v>86</v>
      </c>
      <c r="F782" t="s">
        <v>9</v>
      </c>
      <c r="G782" t="s">
        <v>16</v>
      </c>
      <c r="H782">
        <v>11</v>
      </c>
    </row>
    <row r="783" spans="1:8">
      <c r="A783">
        <v>10786</v>
      </c>
      <c r="B783" s="1">
        <v>45976</v>
      </c>
      <c r="C783">
        <v>282.5</v>
      </c>
      <c r="D783">
        <v>72</v>
      </c>
      <c r="E783" t="s">
        <v>76</v>
      </c>
      <c r="F783" t="s">
        <v>9</v>
      </c>
      <c r="G783" t="s">
        <v>12</v>
      </c>
      <c r="H783">
        <v>11</v>
      </c>
    </row>
    <row r="784" spans="1:8">
      <c r="A784">
        <v>10787</v>
      </c>
      <c r="B784" s="1">
        <v>45974</v>
      </c>
      <c r="C784">
        <v>1018</v>
      </c>
      <c r="D784">
        <v>60</v>
      </c>
      <c r="E784" t="s">
        <v>89</v>
      </c>
      <c r="F784" t="s">
        <v>9</v>
      </c>
      <c r="G784" t="s">
        <v>10</v>
      </c>
      <c r="H784">
        <v>11</v>
      </c>
    </row>
    <row r="785" spans="1:8">
      <c r="A785">
        <v>10788</v>
      </c>
      <c r="B785" s="1">
        <v>45991</v>
      </c>
      <c r="C785">
        <v>4434</v>
      </c>
      <c r="D785">
        <v>30</v>
      </c>
      <c r="E785" t="s">
        <v>70</v>
      </c>
      <c r="F785" t="s">
        <v>18</v>
      </c>
      <c r="G785" t="s">
        <v>10</v>
      </c>
      <c r="H785">
        <v>11</v>
      </c>
    </row>
    <row r="786" spans="1:8">
      <c r="A786">
        <v>10789</v>
      </c>
      <c r="B786" s="1">
        <v>45968</v>
      </c>
      <c r="C786">
        <v>17248.25</v>
      </c>
      <c r="D786">
        <v>7</v>
      </c>
      <c r="E786" t="s">
        <v>66</v>
      </c>
      <c r="F786" t="s">
        <v>18</v>
      </c>
      <c r="G786" t="s">
        <v>10</v>
      </c>
      <c r="H786">
        <v>11</v>
      </c>
    </row>
    <row r="787" spans="1:8">
      <c r="A787">
        <v>10790</v>
      </c>
      <c r="B787" s="1">
        <v>45981</v>
      </c>
      <c r="C787">
        <v>1361.25</v>
      </c>
      <c r="D787">
        <v>64</v>
      </c>
      <c r="E787" t="s">
        <v>45</v>
      </c>
      <c r="F787" t="s">
        <v>9</v>
      </c>
      <c r="G787" t="s">
        <v>12</v>
      </c>
      <c r="H787">
        <v>11</v>
      </c>
    </row>
    <row r="788" spans="1:8">
      <c r="A788">
        <v>10791</v>
      </c>
      <c r="B788" s="1">
        <v>45969</v>
      </c>
      <c r="C788">
        <v>6362.75</v>
      </c>
      <c r="D788">
        <v>29</v>
      </c>
      <c r="E788" t="s">
        <v>23</v>
      </c>
      <c r="F788" t="s">
        <v>18</v>
      </c>
      <c r="G788" t="s">
        <v>10</v>
      </c>
      <c r="H788">
        <v>11</v>
      </c>
    </row>
    <row r="789" spans="1:8">
      <c r="A789">
        <v>10792</v>
      </c>
      <c r="B789" s="1">
        <v>45990</v>
      </c>
      <c r="C789">
        <v>2570.5</v>
      </c>
      <c r="D789">
        <v>37</v>
      </c>
      <c r="E789" t="s">
        <v>14</v>
      </c>
      <c r="F789" t="s">
        <v>9</v>
      </c>
      <c r="G789" t="s">
        <v>12</v>
      </c>
      <c r="H789">
        <v>11</v>
      </c>
    </row>
    <row r="790" spans="1:8">
      <c r="A790">
        <v>10793</v>
      </c>
      <c r="B790" s="1">
        <v>45975</v>
      </c>
      <c r="C790">
        <v>1780.25</v>
      </c>
      <c r="D790">
        <v>75</v>
      </c>
      <c r="E790" t="s">
        <v>85</v>
      </c>
      <c r="F790" t="s">
        <v>9</v>
      </c>
      <c r="G790" t="s">
        <v>19</v>
      </c>
      <c r="H790">
        <v>11</v>
      </c>
    </row>
    <row r="791" spans="1:8">
      <c r="A791">
        <v>10794</v>
      </c>
      <c r="B791" s="1">
        <v>45974</v>
      </c>
      <c r="C791">
        <v>1570.25</v>
      </c>
      <c r="D791">
        <v>54</v>
      </c>
      <c r="E791" t="s">
        <v>53</v>
      </c>
      <c r="F791" t="s">
        <v>9</v>
      </c>
      <c r="G791" t="s">
        <v>12</v>
      </c>
      <c r="H791">
        <v>11</v>
      </c>
    </row>
    <row r="792" spans="1:8">
      <c r="A792">
        <v>10795</v>
      </c>
      <c r="B792" s="1">
        <v>45966</v>
      </c>
      <c r="C792">
        <v>1171.5</v>
      </c>
      <c r="D792">
        <v>54</v>
      </c>
      <c r="E792" t="s">
        <v>53</v>
      </c>
      <c r="F792" t="s">
        <v>9</v>
      </c>
      <c r="G792" t="s">
        <v>12</v>
      </c>
      <c r="H792">
        <v>11</v>
      </c>
    </row>
    <row r="793" spans="1:8">
      <c r="A793">
        <v>10796</v>
      </c>
      <c r="B793" s="1">
        <v>45982</v>
      </c>
      <c r="C793">
        <v>1290</v>
      </c>
      <c r="D793">
        <v>57</v>
      </c>
      <c r="E793" t="s">
        <v>11</v>
      </c>
      <c r="F793" t="s">
        <v>9</v>
      </c>
      <c r="G793" t="s">
        <v>12</v>
      </c>
      <c r="H793">
        <v>11</v>
      </c>
    </row>
    <row r="794" spans="1:8">
      <c r="A794">
        <v>10797</v>
      </c>
      <c r="B794" s="1">
        <v>45980</v>
      </c>
      <c r="C794">
        <v>1148.75</v>
      </c>
      <c r="D794">
        <v>63</v>
      </c>
      <c r="E794" t="s">
        <v>55</v>
      </c>
      <c r="F794" t="s">
        <v>9</v>
      </c>
      <c r="G794" t="s">
        <v>10</v>
      </c>
      <c r="H794">
        <v>11</v>
      </c>
    </row>
    <row r="795" spans="1:8">
      <c r="A795">
        <v>10798</v>
      </c>
      <c r="B795" s="1">
        <v>45975</v>
      </c>
      <c r="C795">
        <v>2569.75</v>
      </c>
      <c r="D795">
        <v>73</v>
      </c>
      <c r="E795" t="s">
        <v>49</v>
      </c>
      <c r="F795" t="s">
        <v>9</v>
      </c>
      <c r="G795" t="s">
        <v>16</v>
      </c>
      <c r="H795">
        <v>11</v>
      </c>
    </row>
    <row r="796" spans="1:8">
      <c r="A796">
        <v>10799</v>
      </c>
      <c r="B796" s="1">
        <v>45973</v>
      </c>
      <c r="C796">
        <v>6448.75</v>
      </c>
      <c r="D796">
        <v>28</v>
      </c>
      <c r="E796" t="s">
        <v>79</v>
      </c>
      <c r="F796" t="s">
        <v>18</v>
      </c>
      <c r="G796" t="s">
        <v>12</v>
      </c>
      <c r="H796">
        <v>11</v>
      </c>
    </row>
    <row r="797" spans="1:8">
      <c r="A797">
        <v>10800</v>
      </c>
      <c r="B797" s="1">
        <v>45985</v>
      </c>
      <c r="C797">
        <v>1503.75</v>
      </c>
      <c r="D797">
        <v>57</v>
      </c>
      <c r="E797" t="s">
        <v>11</v>
      </c>
      <c r="F797" t="s">
        <v>9</v>
      </c>
      <c r="G797" t="s">
        <v>12</v>
      </c>
      <c r="H797">
        <v>11</v>
      </c>
    </row>
    <row r="798" spans="1:8">
      <c r="A798">
        <v>10801</v>
      </c>
      <c r="B798" s="1">
        <v>45980</v>
      </c>
      <c r="C798">
        <v>1340.75</v>
      </c>
      <c r="D798">
        <v>72</v>
      </c>
      <c r="E798" t="s">
        <v>76</v>
      </c>
      <c r="F798" t="s">
        <v>9</v>
      </c>
      <c r="G798" t="s">
        <v>12</v>
      </c>
      <c r="H798">
        <v>11</v>
      </c>
    </row>
    <row r="799" spans="1:8">
      <c r="A799">
        <v>10802</v>
      </c>
      <c r="B799" s="1">
        <v>45980</v>
      </c>
      <c r="C799">
        <v>2630.5</v>
      </c>
      <c r="D799">
        <v>50</v>
      </c>
      <c r="E799" t="s">
        <v>22</v>
      </c>
      <c r="F799" t="s">
        <v>9</v>
      </c>
      <c r="G799" t="s">
        <v>16</v>
      </c>
      <c r="H799">
        <v>11</v>
      </c>
    </row>
    <row r="800" spans="1:8">
      <c r="A800">
        <v>10803</v>
      </c>
      <c r="B800" s="1">
        <v>45978</v>
      </c>
      <c r="C800">
        <v>1574.25</v>
      </c>
      <c r="D800">
        <v>71</v>
      </c>
      <c r="E800" t="s">
        <v>39</v>
      </c>
      <c r="F800" t="s">
        <v>9</v>
      </c>
      <c r="G800" t="s">
        <v>16</v>
      </c>
      <c r="H800">
        <v>11</v>
      </c>
    </row>
    <row r="801" spans="1:8">
      <c r="A801">
        <v>10804</v>
      </c>
      <c r="B801" s="1">
        <v>45987</v>
      </c>
      <c r="C801">
        <v>17218.5</v>
      </c>
      <c r="D801">
        <v>15</v>
      </c>
      <c r="E801" t="s">
        <v>51</v>
      </c>
      <c r="F801" t="s">
        <v>18</v>
      </c>
      <c r="G801" t="s">
        <v>10</v>
      </c>
      <c r="H801">
        <v>11</v>
      </c>
    </row>
    <row r="802" spans="1:8">
      <c r="A802">
        <v>10805</v>
      </c>
      <c r="B802" s="1">
        <v>45962</v>
      </c>
      <c r="C802">
        <v>2392.25</v>
      </c>
      <c r="D802">
        <v>72</v>
      </c>
      <c r="E802" t="s">
        <v>76</v>
      </c>
      <c r="F802" t="s">
        <v>9</v>
      </c>
      <c r="G802" t="s">
        <v>12</v>
      </c>
      <c r="H802">
        <v>11</v>
      </c>
    </row>
    <row r="803" spans="1:8">
      <c r="A803">
        <v>10806</v>
      </c>
      <c r="B803" s="1">
        <v>45971</v>
      </c>
      <c r="C803">
        <v>2364.75</v>
      </c>
      <c r="D803">
        <v>63</v>
      </c>
      <c r="E803" t="s">
        <v>55</v>
      </c>
      <c r="F803" t="s">
        <v>9</v>
      </c>
      <c r="G803" t="s">
        <v>10</v>
      </c>
      <c r="H803">
        <v>11</v>
      </c>
    </row>
    <row r="804" spans="1:8">
      <c r="A804">
        <v>10807</v>
      </c>
      <c r="B804" s="1">
        <v>45973</v>
      </c>
      <c r="C804">
        <v>17434.25</v>
      </c>
      <c r="D804">
        <v>30</v>
      </c>
      <c r="E804" t="s">
        <v>70</v>
      </c>
      <c r="F804" t="s">
        <v>18</v>
      </c>
      <c r="G804" t="s">
        <v>10</v>
      </c>
      <c r="H804">
        <v>11</v>
      </c>
    </row>
    <row r="805" spans="1:8">
      <c r="A805">
        <v>10808</v>
      </c>
      <c r="B805" s="1">
        <v>45979</v>
      </c>
      <c r="C805">
        <v>6764.25</v>
      </c>
      <c r="D805">
        <v>21</v>
      </c>
      <c r="E805" t="s">
        <v>37</v>
      </c>
      <c r="F805" t="s">
        <v>18</v>
      </c>
      <c r="G805" t="s">
        <v>16</v>
      </c>
      <c r="H805">
        <v>11</v>
      </c>
    </row>
    <row r="806" spans="1:8">
      <c r="A806">
        <v>10809</v>
      </c>
      <c r="B806" s="1">
        <v>45978</v>
      </c>
      <c r="C806">
        <v>1564</v>
      </c>
      <c r="D806">
        <v>65</v>
      </c>
      <c r="E806" t="s">
        <v>69</v>
      </c>
      <c r="F806" t="s">
        <v>9</v>
      </c>
      <c r="G806" t="s">
        <v>19</v>
      </c>
      <c r="H806">
        <v>11</v>
      </c>
    </row>
    <row r="807" spans="1:8">
      <c r="A807">
        <v>10810</v>
      </c>
      <c r="B807" s="1">
        <v>45984</v>
      </c>
      <c r="C807">
        <v>2357.5</v>
      </c>
      <c r="D807">
        <v>46</v>
      </c>
      <c r="E807" t="s">
        <v>15</v>
      </c>
      <c r="F807" t="s">
        <v>9</v>
      </c>
      <c r="G807" t="s">
        <v>16</v>
      </c>
      <c r="H807">
        <v>11</v>
      </c>
    </row>
    <row r="808" spans="1:8">
      <c r="A808">
        <v>10811</v>
      </c>
      <c r="B808" s="1">
        <v>45973</v>
      </c>
      <c r="C808">
        <v>1269.25</v>
      </c>
      <c r="D808">
        <v>32</v>
      </c>
      <c r="E808" t="s">
        <v>65</v>
      </c>
      <c r="F808" t="s">
        <v>9</v>
      </c>
      <c r="G808" t="s">
        <v>12</v>
      </c>
      <c r="H808">
        <v>11</v>
      </c>
    </row>
    <row r="809" spans="1:8">
      <c r="A809">
        <v>10812</v>
      </c>
      <c r="B809" s="1">
        <v>45990</v>
      </c>
      <c r="C809">
        <v>459.5</v>
      </c>
      <c r="D809">
        <v>68</v>
      </c>
      <c r="E809" t="s">
        <v>81</v>
      </c>
      <c r="F809" t="s">
        <v>9</v>
      </c>
      <c r="G809" t="s">
        <v>57</v>
      </c>
      <c r="H809">
        <v>11</v>
      </c>
    </row>
    <row r="810" spans="1:8">
      <c r="A810">
        <v>10814</v>
      </c>
      <c r="B810" s="1">
        <v>45984</v>
      </c>
      <c r="C810">
        <v>1986.75</v>
      </c>
      <c r="D810">
        <v>72</v>
      </c>
      <c r="E810" t="s">
        <v>76</v>
      </c>
      <c r="F810" t="s">
        <v>9</v>
      </c>
      <c r="G810" t="s">
        <v>12</v>
      </c>
      <c r="H810">
        <v>11</v>
      </c>
    </row>
    <row r="811" spans="1:8">
      <c r="A811">
        <v>10815</v>
      </c>
      <c r="B811" s="1">
        <v>45982</v>
      </c>
      <c r="C811">
        <v>2077.25</v>
      </c>
      <c r="D811">
        <v>60</v>
      </c>
      <c r="E811" t="s">
        <v>89</v>
      </c>
      <c r="F811" t="s">
        <v>9</v>
      </c>
      <c r="G811" t="s">
        <v>10</v>
      </c>
      <c r="H811">
        <v>11</v>
      </c>
    </row>
    <row r="812" spans="1:8">
      <c r="A812">
        <v>10816</v>
      </c>
      <c r="B812" s="1">
        <v>45969</v>
      </c>
      <c r="C812">
        <v>1031.75</v>
      </c>
      <c r="D812">
        <v>45</v>
      </c>
      <c r="E812" t="s">
        <v>62</v>
      </c>
      <c r="F812" t="s">
        <v>9</v>
      </c>
      <c r="G812" t="s">
        <v>10</v>
      </c>
      <c r="H812">
        <v>11</v>
      </c>
    </row>
    <row r="813" spans="1:8">
      <c r="A813">
        <v>10817</v>
      </c>
      <c r="B813" s="1">
        <v>45967</v>
      </c>
      <c r="C813">
        <v>1834.25</v>
      </c>
      <c r="D813">
        <v>73</v>
      </c>
      <c r="E813" t="s">
        <v>49</v>
      </c>
      <c r="F813" t="s">
        <v>9</v>
      </c>
      <c r="G813" t="s">
        <v>16</v>
      </c>
      <c r="H813">
        <v>11</v>
      </c>
    </row>
    <row r="814" spans="1:8">
      <c r="A814">
        <v>10818</v>
      </c>
      <c r="B814" s="1">
        <v>45973</v>
      </c>
      <c r="C814">
        <v>803.25</v>
      </c>
      <c r="D814">
        <v>71</v>
      </c>
      <c r="E814" t="s">
        <v>39</v>
      </c>
      <c r="F814" t="s">
        <v>9</v>
      </c>
      <c r="G814" t="s">
        <v>16</v>
      </c>
      <c r="H814">
        <v>11</v>
      </c>
    </row>
    <row r="815" spans="1:8">
      <c r="A815">
        <v>10819</v>
      </c>
      <c r="B815" s="1">
        <v>45965</v>
      </c>
      <c r="C815">
        <v>1180</v>
      </c>
      <c r="D815">
        <v>61</v>
      </c>
      <c r="E815" t="s">
        <v>33</v>
      </c>
      <c r="F815" t="s">
        <v>9</v>
      </c>
      <c r="G815" t="s">
        <v>16</v>
      </c>
      <c r="H815">
        <v>11</v>
      </c>
    </row>
    <row r="816" spans="1:8">
      <c r="A816">
        <v>10820</v>
      </c>
      <c r="B816" s="1">
        <v>45979</v>
      </c>
      <c r="C816">
        <v>2147.25</v>
      </c>
      <c r="D816">
        <v>65</v>
      </c>
      <c r="E816" t="s">
        <v>69</v>
      </c>
      <c r="F816" t="s">
        <v>9</v>
      </c>
      <c r="G816" t="s">
        <v>19</v>
      </c>
      <c r="H816">
        <v>11</v>
      </c>
    </row>
    <row r="817" spans="1:8">
      <c r="A817">
        <v>10821</v>
      </c>
      <c r="B817" s="1">
        <v>45981</v>
      </c>
      <c r="C817">
        <v>2399</v>
      </c>
      <c r="D817">
        <v>65</v>
      </c>
      <c r="E817" t="s">
        <v>69</v>
      </c>
      <c r="F817" t="s">
        <v>9</v>
      </c>
      <c r="G817" t="s">
        <v>19</v>
      </c>
      <c r="H817">
        <v>11</v>
      </c>
    </row>
    <row r="818" spans="1:8">
      <c r="A818">
        <v>10822</v>
      </c>
      <c r="B818" s="1">
        <v>45986</v>
      </c>
      <c r="C818">
        <v>1949.75</v>
      </c>
      <c r="D818">
        <v>31</v>
      </c>
      <c r="E818" t="s">
        <v>77</v>
      </c>
      <c r="F818" t="s">
        <v>9</v>
      </c>
      <c r="G818" t="s">
        <v>16</v>
      </c>
      <c r="H818">
        <v>11</v>
      </c>
    </row>
    <row r="819" spans="1:8">
      <c r="A819">
        <v>10823</v>
      </c>
      <c r="B819" s="1">
        <v>45981</v>
      </c>
      <c r="C819">
        <v>15323.5</v>
      </c>
      <c r="D819">
        <v>6</v>
      </c>
      <c r="E819" t="s">
        <v>48</v>
      </c>
      <c r="F819" t="s">
        <v>18</v>
      </c>
      <c r="G819" t="s">
        <v>19</v>
      </c>
      <c r="H819">
        <v>11</v>
      </c>
    </row>
    <row r="820" spans="1:8">
      <c r="A820">
        <v>10824</v>
      </c>
      <c r="B820" s="1">
        <v>45984</v>
      </c>
      <c r="C820">
        <v>5873</v>
      </c>
      <c r="D820">
        <v>3</v>
      </c>
      <c r="E820" t="s">
        <v>27</v>
      </c>
      <c r="F820" t="s">
        <v>18</v>
      </c>
      <c r="G820" t="s">
        <v>12</v>
      </c>
      <c r="H820">
        <v>11</v>
      </c>
    </row>
    <row r="821" spans="1:8">
      <c r="A821">
        <v>10825</v>
      </c>
      <c r="B821" s="1">
        <v>45985</v>
      </c>
      <c r="C821">
        <v>2592.75</v>
      </c>
      <c r="D821">
        <v>47</v>
      </c>
      <c r="E821" t="s">
        <v>68</v>
      </c>
      <c r="F821" t="s">
        <v>9</v>
      </c>
      <c r="G821" t="s">
        <v>19</v>
      </c>
      <c r="H821">
        <v>11</v>
      </c>
    </row>
    <row r="822" spans="1:8">
      <c r="A822">
        <v>10826</v>
      </c>
      <c r="B822" s="1">
        <v>45967</v>
      </c>
      <c r="C822">
        <v>865</v>
      </c>
      <c r="D822">
        <v>37</v>
      </c>
      <c r="E822" t="s">
        <v>14</v>
      </c>
      <c r="F822" t="s">
        <v>9</v>
      </c>
      <c r="G822" t="s">
        <v>12</v>
      </c>
      <c r="H822">
        <v>11</v>
      </c>
    </row>
    <row r="823" spans="1:8">
      <c r="A823">
        <v>10827</v>
      </c>
      <c r="B823" s="1">
        <v>45982</v>
      </c>
      <c r="C823">
        <v>13732</v>
      </c>
      <c r="D823">
        <v>8</v>
      </c>
      <c r="E823" t="s">
        <v>41</v>
      </c>
      <c r="F823" t="s">
        <v>18</v>
      </c>
      <c r="G823" t="s">
        <v>16</v>
      </c>
      <c r="H823">
        <v>11</v>
      </c>
    </row>
    <row r="824" spans="1:8">
      <c r="A824">
        <v>10828</v>
      </c>
      <c r="B824" s="1">
        <v>45989</v>
      </c>
      <c r="C824">
        <v>16483.75</v>
      </c>
      <c r="D824">
        <v>18</v>
      </c>
      <c r="E824" t="s">
        <v>71</v>
      </c>
      <c r="F824" t="s">
        <v>18</v>
      </c>
      <c r="G824" t="s">
        <v>10</v>
      </c>
      <c r="H824">
        <v>11</v>
      </c>
    </row>
    <row r="825" spans="1:8">
      <c r="A825">
        <v>10829</v>
      </c>
      <c r="B825" s="1">
        <v>45988</v>
      </c>
      <c r="C825">
        <v>454.75</v>
      </c>
      <c r="D825">
        <v>71</v>
      </c>
      <c r="E825" t="s">
        <v>39</v>
      </c>
      <c r="F825" t="s">
        <v>9</v>
      </c>
      <c r="G825" t="s">
        <v>16</v>
      </c>
      <c r="H825">
        <v>11</v>
      </c>
    </row>
    <row r="826" spans="1:8">
      <c r="A826">
        <v>10830</v>
      </c>
      <c r="B826" s="1">
        <v>45976</v>
      </c>
      <c r="C826">
        <v>2313.5</v>
      </c>
      <c r="D826">
        <v>65</v>
      </c>
      <c r="E826" t="s">
        <v>69</v>
      </c>
      <c r="F826" t="s">
        <v>9</v>
      </c>
      <c r="G826" t="s">
        <v>19</v>
      </c>
      <c r="H826">
        <v>11</v>
      </c>
    </row>
    <row r="827" spans="1:8">
      <c r="A827">
        <v>10831</v>
      </c>
      <c r="B827" s="1">
        <v>45973</v>
      </c>
      <c r="C827">
        <v>2116</v>
      </c>
      <c r="D827">
        <v>58</v>
      </c>
      <c r="E827" t="s">
        <v>84</v>
      </c>
      <c r="F827" t="s">
        <v>9</v>
      </c>
      <c r="G827" t="s">
        <v>10</v>
      </c>
      <c r="H827">
        <v>11</v>
      </c>
    </row>
    <row r="828" spans="1:8">
      <c r="A828">
        <v>10832</v>
      </c>
      <c r="B828" s="1">
        <v>45982</v>
      </c>
      <c r="C828">
        <v>1046.25</v>
      </c>
      <c r="D828">
        <v>49</v>
      </c>
      <c r="E828" t="s">
        <v>29</v>
      </c>
      <c r="F828" t="s">
        <v>9</v>
      </c>
      <c r="G828" t="s">
        <v>19</v>
      </c>
      <c r="H828">
        <v>11</v>
      </c>
    </row>
    <row r="829" spans="1:8">
      <c r="A829">
        <v>10833</v>
      </c>
      <c r="B829" s="1">
        <v>45974</v>
      </c>
      <c r="C829">
        <v>1955.75</v>
      </c>
      <c r="D829">
        <v>47</v>
      </c>
      <c r="E829" t="s">
        <v>68</v>
      </c>
      <c r="F829" t="s">
        <v>9</v>
      </c>
      <c r="G829" t="s">
        <v>19</v>
      </c>
      <c r="H829">
        <v>11</v>
      </c>
    </row>
    <row r="830" spans="1:8">
      <c r="A830">
        <v>10834</v>
      </c>
      <c r="B830" s="1">
        <v>45978</v>
      </c>
      <c r="C830">
        <v>1400.5</v>
      </c>
      <c r="D830">
        <v>46</v>
      </c>
      <c r="E830" t="s">
        <v>15</v>
      </c>
      <c r="F830" t="s">
        <v>9</v>
      </c>
      <c r="G830" t="s">
        <v>16</v>
      </c>
      <c r="H830">
        <v>11</v>
      </c>
    </row>
    <row r="831" spans="1:8">
      <c r="A831">
        <v>10835</v>
      </c>
      <c r="B831" s="1">
        <v>45982</v>
      </c>
      <c r="C831">
        <v>5028.75</v>
      </c>
      <c r="D831">
        <v>14</v>
      </c>
      <c r="E831" t="s">
        <v>42</v>
      </c>
      <c r="F831" t="s">
        <v>18</v>
      </c>
      <c r="G831" t="s">
        <v>10</v>
      </c>
      <c r="H831">
        <v>11</v>
      </c>
    </row>
    <row r="832" spans="1:8">
      <c r="A832">
        <v>10836</v>
      </c>
      <c r="B832" s="1">
        <v>45988</v>
      </c>
      <c r="C832">
        <v>10027</v>
      </c>
      <c r="D832">
        <v>6</v>
      </c>
      <c r="E832" t="s">
        <v>48</v>
      </c>
      <c r="F832" t="s">
        <v>18</v>
      </c>
      <c r="G832" t="s">
        <v>19</v>
      </c>
      <c r="H832">
        <v>11</v>
      </c>
    </row>
    <row r="833" spans="1:8">
      <c r="A833">
        <v>10837</v>
      </c>
      <c r="B833" s="1">
        <v>45978</v>
      </c>
      <c r="C833">
        <v>389</v>
      </c>
      <c r="D833">
        <v>57</v>
      </c>
      <c r="E833" t="s">
        <v>11</v>
      </c>
      <c r="F833" t="s">
        <v>9</v>
      </c>
      <c r="G833" t="s">
        <v>12</v>
      </c>
      <c r="H833">
        <v>11</v>
      </c>
    </row>
    <row r="834" spans="1:8">
      <c r="A834">
        <v>10838</v>
      </c>
      <c r="B834" s="1">
        <v>45981</v>
      </c>
      <c r="C834">
        <v>2177.75</v>
      </c>
      <c r="D834">
        <v>33</v>
      </c>
      <c r="E834" t="s">
        <v>20</v>
      </c>
      <c r="F834" t="s">
        <v>9</v>
      </c>
      <c r="G834" t="s">
        <v>10</v>
      </c>
      <c r="H834">
        <v>11</v>
      </c>
    </row>
    <row r="835" spans="1:8">
      <c r="A835">
        <v>10839</v>
      </c>
      <c r="B835" s="1">
        <v>45973</v>
      </c>
      <c r="C835">
        <v>2428.5</v>
      </c>
      <c r="D835">
        <v>34</v>
      </c>
      <c r="E835" t="s">
        <v>24</v>
      </c>
      <c r="F835" t="s">
        <v>9</v>
      </c>
      <c r="G835" t="s">
        <v>10</v>
      </c>
      <c r="H835">
        <v>11</v>
      </c>
    </row>
    <row r="836" spans="1:8">
      <c r="A836">
        <v>10840</v>
      </c>
      <c r="B836" s="1">
        <v>45985</v>
      </c>
      <c r="C836">
        <v>2002.25</v>
      </c>
      <c r="D836">
        <v>58</v>
      </c>
      <c r="E836" t="s">
        <v>84</v>
      </c>
      <c r="F836" t="s">
        <v>9</v>
      </c>
      <c r="G836" t="s">
        <v>10</v>
      </c>
      <c r="H836">
        <v>11</v>
      </c>
    </row>
    <row r="837" spans="1:8">
      <c r="A837">
        <v>10841</v>
      </c>
      <c r="B837" s="1">
        <v>45985</v>
      </c>
      <c r="C837">
        <v>2395.5</v>
      </c>
      <c r="D837">
        <v>34</v>
      </c>
      <c r="E837" t="s">
        <v>24</v>
      </c>
      <c r="F837" t="s">
        <v>9</v>
      </c>
      <c r="G837" t="s">
        <v>10</v>
      </c>
      <c r="H837">
        <v>11</v>
      </c>
    </row>
    <row r="838" spans="1:8">
      <c r="A838">
        <v>10842</v>
      </c>
      <c r="B838" s="1">
        <v>45963</v>
      </c>
      <c r="C838">
        <v>1017.25</v>
      </c>
      <c r="D838">
        <v>45</v>
      </c>
      <c r="E838" t="s">
        <v>62</v>
      </c>
      <c r="F838" t="s">
        <v>9</v>
      </c>
      <c r="G838" t="s">
        <v>10</v>
      </c>
      <c r="H838">
        <v>11</v>
      </c>
    </row>
    <row r="839" spans="1:8">
      <c r="A839">
        <v>10843</v>
      </c>
      <c r="B839" s="1">
        <v>45978</v>
      </c>
      <c r="C839">
        <v>448.75</v>
      </c>
      <c r="D839">
        <v>39</v>
      </c>
      <c r="E839" t="s">
        <v>25</v>
      </c>
      <c r="F839" t="s">
        <v>9</v>
      </c>
      <c r="G839" t="s">
        <v>19</v>
      </c>
      <c r="H839">
        <v>11</v>
      </c>
    </row>
    <row r="840" spans="1:8">
      <c r="A840">
        <v>10844</v>
      </c>
      <c r="B840" s="1">
        <v>45966</v>
      </c>
      <c r="C840">
        <v>1987</v>
      </c>
      <c r="D840">
        <v>60</v>
      </c>
      <c r="E840" t="s">
        <v>89</v>
      </c>
      <c r="F840" t="s">
        <v>9</v>
      </c>
      <c r="G840" t="s">
        <v>10</v>
      </c>
      <c r="H840">
        <v>11</v>
      </c>
    </row>
    <row r="841" spans="1:8">
      <c r="A841">
        <v>10845</v>
      </c>
      <c r="B841" s="1">
        <v>45977</v>
      </c>
      <c r="C841">
        <v>1959</v>
      </c>
      <c r="D841">
        <v>36</v>
      </c>
      <c r="E841" t="s">
        <v>83</v>
      </c>
      <c r="F841" t="s">
        <v>9</v>
      </c>
      <c r="G841" t="s">
        <v>16</v>
      </c>
      <c r="H841">
        <v>11</v>
      </c>
    </row>
    <row r="842" spans="1:8">
      <c r="A842">
        <v>10846</v>
      </c>
      <c r="B842" s="1">
        <v>45977</v>
      </c>
      <c r="C842">
        <v>8014.5</v>
      </c>
      <c r="D842">
        <v>15</v>
      </c>
      <c r="E842" t="s">
        <v>51</v>
      </c>
      <c r="F842" t="s">
        <v>18</v>
      </c>
      <c r="G842" t="s">
        <v>10</v>
      </c>
      <c r="H842">
        <v>11</v>
      </c>
    </row>
    <row r="843" spans="1:8">
      <c r="A843">
        <v>10847</v>
      </c>
      <c r="B843" s="1">
        <v>45974</v>
      </c>
      <c r="C843">
        <v>7202.25</v>
      </c>
      <c r="D843">
        <v>26</v>
      </c>
      <c r="E843" t="s">
        <v>47</v>
      </c>
      <c r="F843" t="s">
        <v>18</v>
      </c>
      <c r="G843" t="s">
        <v>12</v>
      </c>
      <c r="H843">
        <v>11</v>
      </c>
    </row>
    <row r="844" spans="1:8">
      <c r="A844">
        <v>10848</v>
      </c>
      <c r="B844" s="1">
        <v>45986</v>
      </c>
      <c r="C844">
        <v>454.5</v>
      </c>
      <c r="D844">
        <v>53</v>
      </c>
      <c r="E844" t="s">
        <v>82</v>
      </c>
      <c r="F844" t="s">
        <v>9</v>
      </c>
      <c r="G844" t="s">
        <v>16</v>
      </c>
      <c r="H844">
        <v>11</v>
      </c>
    </row>
    <row r="845" spans="1:8">
      <c r="A845">
        <v>10849</v>
      </c>
      <c r="B845" s="1">
        <v>45981</v>
      </c>
      <c r="C845">
        <v>4221.5</v>
      </c>
      <c r="D845">
        <v>29</v>
      </c>
      <c r="E845" t="s">
        <v>23</v>
      </c>
      <c r="F845" t="s">
        <v>18</v>
      </c>
      <c r="G845" t="s">
        <v>10</v>
      </c>
      <c r="H845">
        <v>11</v>
      </c>
    </row>
    <row r="846" spans="1:8">
      <c r="A846">
        <v>10850</v>
      </c>
      <c r="B846" s="1">
        <v>45987</v>
      </c>
      <c r="C846">
        <v>2315.5</v>
      </c>
      <c r="D846">
        <v>42</v>
      </c>
      <c r="E846" t="s">
        <v>8</v>
      </c>
      <c r="F846" t="s">
        <v>9</v>
      </c>
      <c r="G846" t="s">
        <v>10</v>
      </c>
      <c r="H846">
        <v>11</v>
      </c>
    </row>
    <row r="847" spans="1:8">
      <c r="A847">
        <v>10851</v>
      </c>
      <c r="B847" s="1">
        <v>45963</v>
      </c>
      <c r="C847">
        <v>16055</v>
      </c>
      <c r="D847">
        <v>10</v>
      </c>
      <c r="E847" t="s">
        <v>64</v>
      </c>
      <c r="F847" t="s">
        <v>18</v>
      </c>
      <c r="G847" t="s">
        <v>19</v>
      </c>
      <c r="H847">
        <v>11</v>
      </c>
    </row>
    <row r="848" spans="1:8">
      <c r="A848">
        <v>10852</v>
      </c>
      <c r="B848" s="1">
        <v>45982</v>
      </c>
      <c r="C848">
        <v>1809</v>
      </c>
      <c r="D848">
        <v>63</v>
      </c>
      <c r="E848" t="s">
        <v>55</v>
      </c>
      <c r="F848" t="s">
        <v>9</v>
      </c>
      <c r="G848" t="s">
        <v>10</v>
      </c>
      <c r="H848">
        <v>11</v>
      </c>
    </row>
    <row r="849" spans="1:8">
      <c r="A849">
        <v>10853</v>
      </c>
      <c r="B849" s="1">
        <v>45976</v>
      </c>
      <c r="C849">
        <v>1165.25</v>
      </c>
      <c r="D849">
        <v>64</v>
      </c>
      <c r="E849" t="s">
        <v>45</v>
      </c>
      <c r="F849" t="s">
        <v>9</v>
      </c>
      <c r="G849" t="s">
        <v>12</v>
      </c>
      <c r="H849">
        <v>11</v>
      </c>
    </row>
    <row r="850" spans="1:8">
      <c r="A850">
        <v>10854</v>
      </c>
      <c r="B850" s="1">
        <v>45991</v>
      </c>
      <c r="C850">
        <v>2016.75</v>
      </c>
      <c r="D850">
        <v>49</v>
      </c>
      <c r="E850" t="s">
        <v>29</v>
      </c>
      <c r="F850" t="s">
        <v>9</v>
      </c>
      <c r="G850" t="s">
        <v>19</v>
      </c>
      <c r="H850">
        <v>11</v>
      </c>
    </row>
    <row r="851" spans="1:8">
      <c r="A851">
        <v>10855</v>
      </c>
      <c r="B851" s="1">
        <v>45983</v>
      </c>
      <c r="C851">
        <v>741.75</v>
      </c>
      <c r="D851">
        <v>62</v>
      </c>
      <c r="E851" t="s">
        <v>28</v>
      </c>
      <c r="F851" t="s">
        <v>9</v>
      </c>
      <c r="G851" t="s">
        <v>10</v>
      </c>
      <c r="H851">
        <v>11</v>
      </c>
    </row>
    <row r="852" spans="1:8">
      <c r="A852">
        <v>10856</v>
      </c>
      <c r="B852" s="1">
        <v>45979</v>
      </c>
      <c r="C852">
        <v>2714.25</v>
      </c>
      <c r="D852">
        <v>66</v>
      </c>
      <c r="E852" t="s">
        <v>59</v>
      </c>
      <c r="F852" t="s">
        <v>9</v>
      </c>
      <c r="G852" t="s">
        <v>19</v>
      </c>
      <c r="H852">
        <v>11</v>
      </c>
    </row>
    <row r="853" spans="1:8">
      <c r="A853">
        <v>10857</v>
      </c>
      <c r="B853" s="1">
        <v>45982</v>
      </c>
      <c r="C853">
        <v>12483.25</v>
      </c>
      <c r="D853">
        <v>7</v>
      </c>
      <c r="E853" t="s">
        <v>66</v>
      </c>
      <c r="F853" t="s">
        <v>18</v>
      </c>
      <c r="G853" t="s">
        <v>10</v>
      </c>
      <c r="H853">
        <v>11</v>
      </c>
    </row>
    <row r="854" spans="1:8">
      <c r="A854">
        <v>10858</v>
      </c>
      <c r="B854" s="1">
        <v>45976</v>
      </c>
      <c r="C854">
        <v>525.5</v>
      </c>
      <c r="D854">
        <v>71</v>
      </c>
      <c r="E854" t="s">
        <v>39</v>
      </c>
      <c r="F854" t="s">
        <v>9</v>
      </c>
      <c r="G854" t="s">
        <v>16</v>
      </c>
      <c r="H854">
        <v>11</v>
      </c>
    </row>
    <row r="855" spans="1:8">
      <c r="A855">
        <v>10859</v>
      </c>
      <c r="B855" s="1">
        <v>45970</v>
      </c>
      <c r="C855">
        <v>2276.25</v>
      </c>
      <c r="D855">
        <v>55</v>
      </c>
      <c r="E855" t="s">
        <v>63</v>
      </c>
      <c r="F855" t="s">
        <v>9</v>
      </c>
      <c r="G855" t="s">
        <v>19</v>
      </c>
      <c r="H855">
        <v>11</v>
      </c>
    </row>
    <row r="856" spans="1:8">
      <c r="A856">
        <v>10860</v>
      </c>
      <c r="B856" s="1">
        <v>45983</v>
      </c>
      <c r="C856">
        <v>9019.5</v>
      </c>
      <c r="D856">
        <v>15</v>
      </c>
      <c r="E856" t="s">
        <v>51</v>
      </c>
      <c r="F856" t="s">
        <v>18</v>
      </c>
      <c r="G856" t="s">
        <v>10</v>
      </c>
      <c r="H856">
        <v>11</v>
      </c>
    </row>
    <row r="857" spans="1:8">
      <c r="A857">
        <v>10861</v>
      </c>
      <c r="B857" s="1">
        <v>45984</v>
      </c>
      <c r="C857">
        <v>2187.25</v>
      </c>
      <c r="D857">
        <v>74</v>
      </c>
      <c r="E857" t="s">
        <v>32</v>
      </c>
      <c r="F857" t="s">
        <v>9</v>
      </c>
      <c r="G857" t="s">
        <v>16</v>
      </c>
      <c r="H857">
        <v>11</v>
      </c>
    </row>
    <row r="858" spans="1:8">
      <c r="A858">
        <v>10862</v>
      </c>
      <c r="B858" s="1">
        <v>45990</v>
      </c>
      <c r="C858">
        <v>4811</v>
      </c>
      <c r="D858">
        <v>11</v>
      </c>
      <c r="E858" t="s">
        <v>31</v>
      </c>
      <c r="F858" t="s">
        <v>18</v>
      </c>
      <c r="G858" t="s">
        <v>19</v>
      </c>
      <c r="H858">
        <v>11</v>
      </c>
    </row>
    <row r="859" spans="1:8">
      <c r="A859">
        <v>10863</v>
      </c>
      <c r="B859" s="1">
        <v>45970</v>
      </c>
      <c r="C859">
        <v>1535.25</v>
      </c>
      <c r="D859">
        <v>32</v>
      </c>
      <c r="E859" t="s">
        <v>65</v>
      </c>
      <c r="F859" t="s">
        <v>9</v>
      </c>
      <c r="G859" t="s">
        <v>12</v>
      </c>
      <c r="H859">
        <v>11</v>
      </c>
    </row>
    <row r="860" spans="1:8">
      <c r="A860">
        <v>10864</v>
      </c>
      <c r="B860" s="1">
        <v>45969</v>
      </c>
      <c r="C860">
        <v>1099.5</v>
      </c>
      <c r="D860">
        <v>62</v>
      </c>
      <c r="E860" t="s">
        <v>28</v>
      </c>
      <c r="F860" t="s">
        <v>9</v>
      </c>
      <c r="G860" t="s">
        <v>10</v>
      </c>
      <c r="H860">
        <v>11</v>
      </c>
    </row>
    <row r="861" spans="1:8">
      <c r="A861">
        <v>10865</v>
      </c>
      <c r="B861" s="1">
        <v>45963</v>
      </c>
      <c r="C861">
        <v>1193.5</v>
      </c>
      <c r="D861">
        <v>39</v>
      </c>
      <c r="E861" t="s">
        <v>25</v>
      </c>
      <c r="F861" t="s">
        <v>9</v>
      </c>
      <c r="G861" t="s">
        <v>19</v>
      </c>
      <c r="H861">
        <v>11</v>
      </c>
    </row>
    <row r="862" spans="1:8">
      <c r="A862">
        <v>10866</v>
      </c>
      <c r="B862" s="1">
        <v>45966</v>
      </c>
      <c r="C862">
        <v>2036.75</v>
      </c>
      <c r="D862">
        <v>31</v>
      </c>
      <c r="E862" t="s">
        <v>77</v>
      </c>
      <c r="F862" t="s">
        <v>9</v>
      </c>
      <c r="G862" t="s">
        <v>16</v>
      </c>
      <c r="H862">
        <v>11</v>
      </c>
    </row>
    <row r="863" spans="1:8">
      <c r="A863">
        <v>10867</v>
      </c>
      <c r="B863" s="1">
        <v>45972</v>
      </c>
      <c r="C863">
        <v>908</v>
      </c>
      <c r="D863">
        <v>64</v>
      </c>
      <c r="E863" t="s">
        <v>45</v>
      </c>
      <c r="F863" t="s">
        <v>9</v>
      </c>
      <c r="G863" t="s">
        <v>12</v>
      </c>
      <c r="H863">
        <v>11</v>
      </c>
    </row>
    <row r="864" spans="1:8">
      <c r="A864">
        <v>10868</v>
      </c>
      <c r="B864" s="1">
        <v>45966</v>
      </c>
      <c r="C864">
        <v>2155</v>
      </c>
      <c r="D864">
        <v>46</v>
      </c>
      <c r="E864" t="s">
        <v>15</v>
      </c>
      <c r="F864" t="s">
        <v>9</v>
      </c>
      <c r="G864" t="s">
        <v>16</v>
      </c>
      <c r="H864">
        <v>11</v>
      </c>
    </row>
    <row r="865" spans="1:8">
      <c r="A865">
        <v>10869</v>
      </c>
      <c r="B865" s="1">
        <v>45978</v>
      </c>
      <c r="C865">
        <v>710.75</v>
      </c>
      <c r="D865">
        <v>73</v>
      </c>
      <c r="E865" t="s">
        <v>49</v>
      </c>
      <c r="F865" t="s">
        <v>9</v>
      </c>
      <c r="G865" t="s">
        <v>16</v>
      </c>
      <c r="H865">
        <v>11</v>
      </c>
    </row>
    <row r="866" spans="1:8">
      <c r="A866">
        <v>10870</v>
      </c>
      <c r="B866" s="1">
        <v>45962</v>
      </c>
      <c r="C866">
        <v>794</v>
      </c>
      <c r="D866">
        <v>31</v>
      </c>
      <c r="E866" t="s">
        <v>77</v>
      </c>
      <c r="F866" t="s">
        <v>9</v>
      </c>
      <c r="G866" t="s">
        <v>16</v>
      </c>
      <c r="H866">
        <v>11</v>
      </c>
    </row>
    <row r="867" spans="1:8">
      <c r="A867">
        <v>10871</v>
      </c>
      <c r="B867" s="1">
        <v>45969</v>
      </c>
      <c r="C867">
        <v>6849.5</v>
      </c>
      <c r="D867">
        <v>7</v>
      </c>
      <c r="E867" t="s">
        <v>66</v>
      </c>
      <c r="F867" t="s">
        <v>18</v>
      </c>
      <c r="G867" t="s">
        <v>10</v>
      </c>
      <c r="H867">
        <v>11</v>
      </c>
    </row>
    <row r="868" spans="1:8">
      <c r="A868">
        <v>10872</v>
      </c>
      <c r="B868" s="1">
        <v>45984</v>
      </c>
      <c r="C868">
        <v>2504</v>
      </c>
      <c r="D868">
        <v>38</v>
      </c>
      <c r="E868" t="s">
        <v>52</v>
      </c>
      <c r="F868" t="s">
        <v>9</v>
      </c>
      <c r="G868" t="s">
        <v>19</v>
      </c>
      <c r="H868">
        <v>11</v>
      </c>
    </row>
    <row r="869" spans="1:8">
      <c r="A869">
        <v>10873</v>
      </c>
      <c r="B869" s="1">
        <v>45970</v>
      </c>
      <c r="C869">
        <v>2479</v>
      </c>
      <c r="D869">
        <v>56</v>
      </c>
      <c r="E869" t="s">
        <v>43</v>
      </c>
      <c r="F869" t="s">
        <v>9</v>
      </c>
      <c r="G869" t="s">
        <v>10</v>
      </c>
      <c r="H869">
        <v>11</v>
      </c>
    </row>
    <row r="870" spans="1:8">
      <c r="A870">
        <v>10874</v>
      </c>
      <c r="B870" s="1">
        <v>45979</v>
      </c>
      <c r="C870">
        <v>1831.75</v>
      </c>
      <c r="D870">
        <v>49</v>
      </c>
      <c r="E870" t="s">
        <v>29</v>
      </c>
      <c r="F870" t="s">
        <v>9</v>
      </c>
      <c r="G870" t="s">
        <v>19</v>
      </c>
      <c r="H870">
        <v>11</v>
      </c>
    </row>
    <row r="871" spans="1:8">
      <c r="A871">
        <v>10875</v>
      </c>
      <c r="B871" s="1">
        <v>45966</v>
      </c>
      <c r="C871">
        <v>2542.25</v>
      </c>
      <c r="D871">
        <v>43</v>
      </c>
      <c r="E871" t="s">
        <v>90</v>
      </c>
      <c r="F871" t="s">
        <v>9</v>
      </c>
      <c r="G871" t="s">
        <v>19</v>
      </c>
      <c r="H871">
        <v>11</v>
      </c>
    </row>
    <row r="872" spans="1:8">
      <c r="A872">
        <v>10876</v>
      </c>
      <c r="B872" s="1">
        <v>45988</v>
      </c>
      <c r="C872">
        <v>14980.75</v>
      </c>
      <c r="D872">
        <v>19</v>
      </c>
      <c r="E872" t="s">
        <v>38</v>
      </c>
      <c r="F872" t="s">
        <v>18</v>
      </c>
      <c r="G872" t="s">
        <v>10</v>
      </c>
      <c r="H872">
        <v>11</v>
      </c>
    </row>
    <row r="873" spans="1:8">
      <c r="A873">
        <v>10877</v>
      </c>
      <c r="B873" s="1">
        <v>45969</v>
      </c>
      <c r="C873">
        <v>1495.5</v>
      </c>
      <c r="D873">
        <v>69</v>
      </c>
      <c r="E873" t="s">
        <v>44</v>
      </c>
      <c r="F873" t="s">
        <v>9</v>
      </c>
      <c r="G873" t="s">
        <v>19</v>
      </c>
      <c r="H873">
        <v>11</v>
      </c>
    </row>
    <row r="874" spans="1:8">
      <c r="A874">
        <v>10878</v>
      </c>
      <c r="B874" s="1">
        <v>45964</v>
      </c>
      <c r="C874">
        <v>9566.25</v>
      </c>
      <c r="D874">
        <v>23</v>
      </c>
      <c r="E874" t="s">
        <v>88</v>
      </c>
      <c r="F874" t="s">
        <v>18</v>
      </c>
      <c r="G874" t="s">
        <v>10</v>
      </c>
      <c r="H874">
        <v>11</v>
      </c>
    </row>
    <row r="875" spans="1:8">
      <c r="A875">
        <v>10879</v>
      </c>
      <c r="B875" s="1">
        <v>45988</v>
      </c>
      <c r="C875">
        <v>1577.25</v>
      </c>
      <c r="D875">
        <v>53</v>
      </c>
      <c r="E875" t="s">
        <v>82</v>
      </c>
      <c r="F875" t="s">
        <v>9</v>
      </c>
      <c r="G875" t="s">
        <v>16</v>
      </c>
      <c r="H875">
        <v>11</v>
      </c>
    </row>
    <row r="876" spans="1:8">
      <c r="A876">
        <v>10880</v>
      </c>
      <c r="B876" s="1">
        <v>45972</v>
      </c>
      <c r="C876">
        <v>10821.5</v>
      </c>
      <c r="D876">
        <v>20</v>
      </c>
      <c r="E876" t="s">
        <v>30</v>
      </c>
      <c r="F876" t="s">
        <v>18</v>
      </c>
      <c r="G876" t="s">
        <v>10</v>
      </c>
      <c r="H876">
        <v>11</v>
      </c>
    </row>
    <row r="877" spans="1:8">
      <c r="A877">
        <v>10881</v>
      </c>
      <c r="B877" s="1">
        <v>45979</v>
      </c>
      <c r="C877">
        <v>17262.75</v>
      </c>
      <c r="D877">
        <v>4</v>
      </c>
      <c r="E877" t="s">
        <v>26</v>
      </c>
      <c r="F877" t="s">
        <v>18</v>
      </c>
      <c r="G877" t="s">
        <v>16</v>
      </c>
      <c r="H877">
        <v>11</v>
      </c>
    </row>
    <row r="878" spans="1:8">
      <c r="A878">
        <v>10882</v>
      </c>
      <c r="B878" s="1">
        <v>45985</v>
      </c>
      <c r="C878">
        <v>1592</v>
      </c>
      <c r="D878">
        <v>59</v>
      </c>
      <c r="E878" t="s">
        <v>86</v>
      </c>
      <c r="F878" t="s">
        <v>9</v>
      </c>
      <c r="G878" t="s">
        <v>16</v>
      </c>
      <c r="H878">
        <v>11</v>
      </c>
    </row>
    <row r="879" spans="1:8">
      <c r="A879">
        <v>10883</v>
      </c>
      <c r="B879" s="1">
        <v>45982</v>
      </c>
      <c r="C879">
        <v>2162</v>
      </c>
      <c r="D879">
        <v>37</v>
      </c>
      <c r="E879" t="s">
        <v>14</v>
      </c>
      <c r="F879" t="s">
        <v>9</v>
      </c>
      <c r="G879" t="s">
        <v>12</v>
      </c>
      <c r="H879">
        <v>11</v>
      </c>
    </row>
    <row r="880" spans="1:8">
      <c r="A880">
        <v>10884</v>
      </c>
      <c r="B880" s="1">
        <v>45980</v>
      </c>
      <c r="C880">
        <v>11344.5</v>
      </c>
      <c r="D880">
        <v>8</v>
      </c>
      <c r="E880" t="s">
        <v>41</v>
      </c>
      <c r="F880" t="s">
        <v>18</v>
      </c>
      <c r="G880" t="s">
        <v>16</v>
      </c>
      <c r="H880">
        <v>11</v>
      </c>
    </row>
    <row r="881" spans="1:8">
      <c r="A881">
        <v>10885</v>
      </c>
      <c r="B881" s="1">
        <v>45990</v>
      </c>
      <c r="C881">
        <v>10305</v>
      </c>
      <c r="D881">
        <v>12</v>
      </c>
      <c r="E881" t="s">
        <v>75</v>
      </c>
      <c r="F881" t="s">
        <v>18</v>
      </c>
      <c r="G881" t="s">
        <v>16</v>
      </c>
      <c r="H881">
        <v>11</v>
      </c>
    </row>
    <row r="882" spans="1:8">
      <c r="A882">
        <v>10886</v>
      </c>
      <c r="B882" s="1">
        <v>45980</v>
      </c>
      <c r="C882">
        <v>7285.5</v>
      </c>
      <c r="D882">
        <v>8</v>
      </c>
      <c r="E882" t="s">
        <v>41</v>
      </c>
      <c r="F882" t="s">
        <v>18</v>
      </c>
      <c r="G882" t="s">
        <v>16</v>
      </c>
      <c r="H882">
        <v>11</v>
      </c>
    </row>
    <row r="883" spans="1:8">
      <c r="A883">
        <v>10887</v>
      </c>
      <c r="B883" s="1">
        <v>45985</v>
      </c>
      <c r="C883">
        <v>1837.75</v>
      </c>
      <c r="D883">
        <v>57</v>
      </c>
      <c r="E883" t="s">
        <v>11</v>
      </c>
      <c r="F883" t="s">
        <v>9</v>
      </c>
      <c r="G883" t="s">
        <v>12</v>
      </c>
      <c r="H883">
        <v>11</v>
      </c>
    </row>
    <row r="884" spans="1:8">
      <c r="A884">
        <v>10888</v>
      </c>
      <c r="B884" s="1">
        <v>45991</v>
      </c>
      <c r="C884">
        <v>2708</v>
      </c>
      <c r="D884">
        <v>72</v>
      </c>
      <c r="E884" t="s">
        <v>76</v>
      </c>
      <c r="F884" t="s">
        <v>9</v>
      </c>
      <c r="G884" t="s">
        <v>12</v>
      </c>
      <c r="H884">
        <v>11</v>
      </c>
    </row>
    <row r="885" spans="1:8">
      <c r="A885">
        <v>10889</v>
      </c>
      <c r="B885" s="1">
        <v>45984</v>
      </c>
      <c r="C885">
        <v>1150</v>
      </c>
      <c r="D885">
        <v>36</v>
      </c>
      <c r="E885" t="s">
        <v>83</v>
      </c>
      <c r="F885" t="s">
        <v>9</v>
      </c>
      <c r="G885" t="s">
        <v>16</v>
      </c>
      <c r="H885">
        <v>11</v>
      </c>
    </row>
    <row r="886" spans="1:8">
      <c r="A886">
        <v>10890</v>
      </c>
      <c r="B886" s="1">
        <v>45996</v>
      </c>
      <c r="C886">
        <v>1528.75</v>
      </c>
      <c r="D886">
        <v>36</v>
      </c>
      <c r="E886" t="s">
        <v>83</v>
      </c>
      <c r="F886" t="s">
        <v>9</v>
      </c>
      <c r="G886" t="s">
        <v>16</v>
      </c>
      <c r="H886">
        <v>12</v>
      </c>
    </row>
    <row r="887" spans="1:8">
      <c r="A887">
        <v>10891</v>
      </c>
      <c r="B887" s="1">
        <v>45995</v>
      </c>
      <c r="C887">
        <v>8423.5</v>
      </c>
      <c r="D887">
        <v>30</v>
      </c>
      <c r="E887" t="s">
        <v>70</v>
      </c>
      <c r="F887" t="s">
        <v>18</v>
      </c>
      <c r="G887" t="s">
        <v>10</v>
      </c>
      <c r="H887">
        <v>12</v>
      </c>
    </row>
    <row r="888" spans="1:8">
      <c r="A888">
        <v>10892</v>
      </c>
      <c r="B888" s="1">
        <v>46015</v>
      </c>
      <c r="C888">
        <v>5272</v>
      </c>
      <c r="D888">
        <v>26</v>
      </c>
      <c r="E888" t="s">
        <v>47</v>
      </c>
      <c r="F888" t="s">
        <v>18</v>
      </c>
      <c r="G888" t="s">
        <v>12</v>
      </c>
      <c r="H888">
        <v>12</v>
      </c>
    </row>
    <row r="889" spans="1:8">
      <c r="A889">
        <v>10893</v>
      </c>
      <c r="B889" s="1">
        <v>46013</v>
      </c>
      <c r="C889">
        <v>1581.25</v>
      </c>
      <c r="D889">
        <v>39</v>
      </c>
      <c r="E889" t="s">
        <v>25</v>
      </c>
      <c r="F889" t="s">
        <v>9</v>
      </c>
      <c r="G889" t="s">
        <v>19</v>
      </c>
      <c r="H889">
        <v>12</v>
      </c>
    </row>
    <row r="890" spans="1:8">
      <c r="A890">
        <v>10894</v>
      </c>
      <c r="B890" s="1">
        <v>46004</v>
      </c>
      <c r="C890">
        <v>1825.25</v>
      </c>
      <c r="D890">
        <v>61</v>
      </c>
      <c r="E890" t="s">
        <v>33</v>
      </c>
      <c r="F890" t="s">
        <v>9</v>
      </c>
      <c r="G890" t="s">
        <v>16</v>
      </c>
      <c r="H890">
        <v>12</v>
      </c>
    </row>
    <row r="891" spans="1:8">
      <c r="A891">
        <v>10895</v>
      </c>
      <c r="B891" s="1">
        <v>45998</v>
      </c>
      <c r="C891">
        <v>1239.75</v>
      </c>
      <c r="D891">
        <v>39</v>
      </c>
      <c r="E891" t="s">
        <v>25</v>
      </c>
      <c r="F891" t="s">
        <v>9</v>
      </c>
      <c r="G891" t="s">
        <v>19</v>
      </c>
      <c r="H891">
        <v>12</v>
      </c>
    </row>
    <row r="892" spans="1:8">
      <c r="A892">
        <v>10896</v>
      </c>
      <c r="B892" s="1">
        <v>46009</v>
      </c>
      <c r="C892">
        <v>1087</v>
      </c>
      <c r="D892">
        <v>68</v>
      </c>
      <c r="E892" t="s">
        <v>81</v>
      </c>
      <c r="F892" t="s">
        <v>9</v>
      </c>
      <c r="G892" t="s">
        <v>57</v>
      </c>
      <c r="H892">
        <v>12</v>
      </c>
    </row>
    <row r="893" spans="1:8">
      <c r="A893">
        <v>10897</v>
      </c>
      <c r="B893" s="1">
        <v>45996</v>
      </c>
      <c r="C893">
        <v>9444.5</v>
      </c>
      <c r="D893">
        <v>13</v>
      </c>
      <c r="E893" t="s">
        <v>50</v>
      </c>
      <c r="F893" t="s">
        <v>18</v>
      </c>
      <c r="G893" t="s">
        <v>12</v>
      </c>
      <c r="H893">
        <v>12</v>
      </c>
    </row>
    <row r="894" spans="1:8">
      <c r="A894">
        <v>10898</v>
      </c>
      <c r="B894" s="1">
        <v>46008</v>
      </c>
      <c r="C894">
        <v>5994.5</v>
      </c>
      <c r="D894">
        <v>9</v>
      </c>
      <c r="E894" t="s">
        <v>56</v>
      </c>
      <c r="F894" t="s">
        <v>18</v>
      </c>
      <c r="G894" t="s">
        <v>57</v>
      </c>
      <c r="H894">
        <v>12</v>
      </c>
    </row>
    <row r="895" spans="1:8">
      <c r="A895">
        <v>10899</v>
      </c>
      <c r="B895" s="1">
        <v>46004</v>
      </c>
      <c r="C895">
        <v>2647</v>
      </c>
      <c r="D895">
        <v>7</v>
      </c>
      <c r="E895" t="s">
        <v>66</v>
      </c>
      <c r="F895" t="s">
        <v>18</v>
      </c>
      <c r="G895" t="s">
        <v>10</v>
      </c>
      <c r="H895">
        <v>12</v>
      </c>
    </row>
    <row r="896" spans="1:8">
      <c r="A896">
        <v>10900</v>
      </c>
      <c r="B896" s="1">
        <v>45998</v>
      </c>
      <c r="C896">
        <v>10144</v>
      </c>
      <c r="D896">
        <v>7</v>
      </c>
      <c r="E896" t="s">
        <v>66</v>
      </c>
      <c r="F896" t="s">
        <v>18</v>
      </c>
      <c r="G896" t="s">
        <v>10</v>
      </c>
      <c r="H896">
        <v>12</v>
      </c>
    </row>
    <row r="897" spans="1:8">
      <c r="A897">
        <v>10901</v>
      </c>
      <c r="B897" s="1">
        <v>46022</v>
      </c>
      <c r="C897">
        <v>517.5</v>
      </c>
      <c r="D897">
        <v>52</v>
      </c>
      <c r="E897" t="s">
        <v>61</v>
      </c>
      <c r="F897" t="s">
        <v>9</v>
      </c>
      <c r="G897" t="s">
        <v>12</v>
      </c>
      <c r="H897">
        <v>12</v>
      </c>
    </row>
    <row r="898" spans="1:8">
      <c r="A898">
        <v>10902</v>
      </c>
      <c r="B898" s="1">
        <v>46019</v>
      </c>
      <c r="C898">
        <v>1868.75</v>
      </c>
      <c r="D898">
        <v>58</v>
      </c>
      <c r="E898" t="s">
        <v>84</v>
      </c>
      <c r="F898" t="s">
        <v>9</v>
      </c>
      <c r="G898" t="s">
        <v>10</v>
      </c>
      <c r="H898">
        <v>12</v>
      </c>
    </row>
    <row r="899" spans="1:8">
      <c r="A899">
        <v>10903</v>
      </c>
      <c r="B899" s="1">
        <v>45995</v>
      </c>
      <c r="C899">
        <v>296</v>
      </c>
      <c r="D899">
        <v>39</v>
      </c>
      <c r="E899" t="s">
        <v>25</v>
      </c>
      <c r="F899" t="s">
        <v>9</v>
      </c>
      <c r="G899" t="s">
        <v>19</v>
      </c>
      <c r="H899">
        <v>12</v>
      </c>
    </row>
    <row r="900" spans="1:8">
      <c r="A900">
        <v>10904</v>
      </c>
      <c r="B900" s="1">
        <v>46019</v>
      </c>
      <c r="C900">
        <v>2159.25</v>
      </c>
      <c r="D900">
        <v>69</v>
      </c>
      <c r="E900" t="s">
        <v>44</v>
      </c>
      <c r="F900" t="s">
        <v>9</v>
      </c>
      <c r="G900" t="s">
        <v>19</v>
      </c>
      <c r="H900">
        <v>12</v>
      </c>
    </row>
    <row r="901" spans="1:8">
      <c r="A901">
        <v>10905</v>
      </c>
      <c r="B901" s="1">
        <v>46010</v>
      </c>
      <c r="C901">
        <v>1854.25</v>
      </c>
      <c r="D901">
        <v>67</v>
      </c>
      <c r="E901" t="s">
        <v>35</v>
      </c>
      <c r="F901" t="s">
        <v>9</v>
      </c>
      <c r="G901" t="s">
        <v>10</v>
      </c>
      <c r="H901">
        <v>12</v>
      </c>
    </row>
    <row r="902" spans="1:8">
      <c r="A902">
        <v>10906</v>
      </c>
      <c r="B902" s="1">
        <v>45996</v>
      </c>
      <c r="C902">
        <v>1190.25</v>
      </c>
      <c r="D902">
        <v>67</v>
      </c>
      <c r="E902" t="s">
        <v>35</v>
      </c>
      <c r="F902" t="s">
        <v>9</v>
      </c>
      <c r="G902" t="s">
        <v>10</v>
      </c>
      <c r="H902">
        <v>12</v>
      </c>
    </row>
    <row r="903" spans="1:8">
      <c r="A903">
        <v>10907</v>
      </c>
      <c r="B903" s="1">
        <v>46002</v>
      </c>
      <c r="C903">
        <v>12109</v>
      </c>
      <c r="D903">
        <v>21</v>
      </c>
      <c r="E903" t="s">
        <v>37</v>
      </c>
      <c r="F903" t="s">
        <v>18</v>
      </c>
      <c r="G903" t="s">
        <v>16</v>
      </c>
      <c r="H903">
        <v>12</v>
      </c>
    </row>
    <row r="904" spans="1:8">
      <c r="A904">
        <v>10908</v>
      </c>
      <c r="B904" s="1">
        <v>46010</v>
      </c>
      <c r="C904">
        <v>7397.25</v>
      </c>
      <c r="D904">
        <v>16</v>
      </c>
      <c r="E904" t="s">
        <v>21</v>
      </c>
      <c r="F904" t="s">
        <v>18</v>
      </c>
      <c r="G904" t="s">
        <v>10</v>
      </c>
      <c r="H904">
        <v>12</v>
      </c>
    </row>
    <row r="905" spans="1:8">
      <c r="A905">
        <v>10909</v>
      </c>
      <c r="B905" s="1">
        <v>46004</v>
      </c>
      <c r="C905">
        <v>1769</v>
      </c>
      <c r="D905">
        <v>76</v>
      </c>
      <c r="E905" t="s">
        <v>13</v>
      </c>
      <c r="F905" t="s">
        <v>9</v>
      </c>
      <c r="G905" t="s">
        <v>12</v>
      </c>
      <c r="H905">
        <v>12</v>
      </c>
    </row>
    <row r="906" spans="1:8">
      <c r="A906">
        <v>10910</v>
      </c>
      <c r="B906" s="1">
        <v>46014</v>
      </c>
      <c r="C906">
        <v>1396</v>
      </c>
      <c r="D906">
        <v>74</v>
      </c>
      <c r="E906" t="s">
        <v>32</v>
      </c>
      <c r="F906" t="s">
        <v>9</v>
      </c>
      <c r="G906" t="s">
        <v>16</v>
      </c>
      <c r="H906">
        <v>12</v>
      </c>
    </row>
    <row r="907" spans="1:8">
      <c r="A907">
        <v>10911</v>
      </c>
      <c r="B907" s="1">
        <v>45992</v>
      </c>
      <c r="C907">
        <v>9752.25</v>
      </c>
      <c r="D907">
        <v>3</v>
      </c>
      <c r="E907" t="s">
        <v>27</v>
      </c>
      <c r="F907" t="s">
        <v>18</v>
      </c>
      <c r="G907" t="s">
        <v>12</v>
      </c>
      <c r="H907">
        <v>12</v>
      </c>
    </row>
    <row r="908" spans="1:8">
      <c r="A908">
        <v>10912</v>
      </c>
      <c r="B908" s="1">
        <v>46020</v>
      </c>
      <c r="C908">
        <v>1214.25</v>
      </c>
      <c r="D908">
        <v>72</v>
      </c>
      <c r="E908" t="s">
        <v>76</v>
      </c>
      <c r="F908" t="s">
        <v>9</v>
      </c>
      <c r="G908" t="s">
        <v>12</v>
      </c>
      <c r="H908">
        <v>12</v>
      </c>
    </row>
    <row r="909" spans="1:8">
      <c r="A909">
        <v>10913</v>
      </c>
      <c r="B909" s="1">
        <v>46013</v>
      </c>
      <c r="C909">
        <v>1052.75</v>
      </c>
      <c r="D909">
        <v>58</v>
      </c>
      <c r="E909" t="s">
        <v>84</v>
      </c>
      <c r="F909" t="s">
        <v>9</v>
      </c>
      <c r="G909" t="s">
        <v>10</v>
      </c>
      <c r="H909">
        <v>12</v>
      </c>
    </row>
    <row r="910" spans="1:8">
      <c r="A910">
        <v>10914</v>
      </c>
      <c r="B910" s="1">
        <v>46015</v>
      </c>
      <c r="C910">
        <v>676.25</v>
      </c>
      <c r="D910">
        <v>42</v>
      </c>
      <c r="E910" t="s">
        <v>8</v>
      </c>
      <c r="F910" t="s">
        <v>9</v>
      </c>
      <c r="G910" t="s">
        <v>10</v>
      </c>
      <c r="H910">
        <v>12</v>
      </c>
    </row>
    <row r="911" spans="1:8">
      <c r="A911">
        <v>10915</v>
      </c>
      <c r="B911" s="1">
        <v>46008</v>
      </c>
      <c r="C911">
        <v>2480.75</v>
      </c>
      <c r="D911">
        <v>66</v>
      </c>
      <c r="E911" t="s">
        <v>59</v>
      </c>
      <c r="F911" t="s">
        <v>9</v>
      </c>
      <c r="G911" t="s">
        <v>19</v>
      </c>
      <c r="H911">
        <v>12</v>
      </c>
    </row>
    <row r="912" spans="1:8">
      <c r="A912">
        <v>10916</v>
      </c>
      <c r="B912" s="1">
        <v>46018</v>
      </c>
      <c r="C912">
        <v>1142.75</v>
      </c>
      <c r="D912">
        <v>32</v>
      </c>
      <c r="E912" t="s">
        <v>65</v>
      </c>
      <c r="F912" t="s">
        <v>9</v>
      </c>
      <c r="G912" t="s">
        <v>12</v>
      </c>
      <c r="H912">
        <v>12</v>
      </c>
    </row>
    <row r="913" spans="1:8">
      <c r="A913">
        <v>10917</v>
      </c>
      <c r="B913" s="1">
        <v>46002</v>
      </c>
      <c r="C913">
        <v>2450.5</v>
      </c>
      <c r="D913">
        <v>59</v>
      </c>
      <c r="E913" t="s">
        <v>86</v>
      </c>
      <c r="F913" t="s">
        <v>9</v>
      </c>
      <c r="G913" t="s">
        <v>16</v>
      </c>
      <c r="H913">
        <v>12</v>
      </c>
    </row>
    <row r="914" spans="1:8">
      <c r="A914">
        <v>10918</v>
      </c>
      <c r="B914" s="1">
        <v>46005</v>
      </c>
      <c r="C914">
        <v>1251.75</v>
      </c>
      <c r="D914">
        <v>66</v>
      </c>
      <c r="E914" t="s">
        <v>59</v>
      </c>
      <c r="F914" t="s">
        <v>9</v>
      </c>
      <c r="G914" t="s">
        <v>19</v>
      </c>
      <c r="H914">
        <v>12</v>
      </c>
    </row>
    <row r="915" spans="1:8">
      <c r="A915">
        <v>10919</v>
      </c>
      <c r="B915" s="1">
        <v>45994</v>
      </c>
      <c r="C915">
        <v>1515.75</v>
      </c>
      <c r="D915">
        <v>69</v>
      </c>
      <c r="E915" t="s">
        <v>44</v>
      </c>
      <c r="F915" t="s">
        <v>9</v>
      </c>
      <c r="G915" t="s">
        <v>19</v>
      </c>
      <c r="H915">
        <v>12</v>
      </c>
    </row>
    <row r="916" spans="1:8">
      <c r="A916">
        <v>10920</v>
      </c>
      <c r="B916" s="1">
        <v>46010</v>
      </c>
      <c r="C916">
        <v>2159</v>
      </c>
      <c r="D916">
        <v>32</v>
      </c>
      <c r="E916" t="s">
        <v>65</v>
      </c>
      <c r="F916" t="s">
        <v>9</v>
      </c>
      <c r="G916" t="s">
        <v>12</v>
      </c>
      <c r="H916">
        <v>12</v>
      </c>
    </row>
    <row r="917" spans="1:8">
      <c r="A917">
        <v>10921</v>
      </c>
      <c r="B917" s="1">
        <v>46004</v>
      </c>
      <c r="C917">
        <v>3534</v>
      </c>
      <c r="D917">
        <v>28</v>
      </c>
      <c r="E917" t="s">
        <v>79</v>
      </c>
      <c r="F917" t="s">
        <v>18</v>
      </c>
      <c r="G917" t="s">
        <v>12</v>
      </c>
      <c r="H917">
        <v>12</v>
      </c>
    </row>
    <row r="918" spans="1:8">
      <c r="A918">
        <v>10922</v>
      </c>
      <c r="B918" s="1">
        <v>46012</v>
      </c>
      <c r="C918">
        <v>3338.25</v>
      </c>
      <c r="D918">
        <v>18</v>
      </c>
      <c r="E918" t="s">
        <v>71</v>
      </c>
      <c r="F918" t="s">
        <v>18</v>
      </c>
      <c r="G918" t="s">
        <v>10</v>
      </c>
      <c r="H918">
        <v>12</v>
      </c>
    </row>
    <row r="919" spans="1:8">
      <c r="A919">
        <v>10923</v>
      </c>
      <c r="B919" s="1">
        <v>46022</v>
      </c>
      <c r="C919">
        <v>8152.25</v>
      </c>
      <c r="D919">
        <v>28</v>
      </c>
      <c r="E919" t="s">
        <v>79</v>
      </c>
      <c r="F919" t="s">
        <v>18</v>
      </c>
      <c r="G919" t="s">
        <v>12</v>
      </c>
      <c r="H919">
        <v>12</v>
      </c>
    </row>
    <row r="920" spans="1:8">
      <c r="A920">
        <v>10924</v>
      </c>
      <c r="B920" s="1">
        <v>46008</v>
      </c>
      <c r="C920">
        <v>8672</v>
      </c>
      <c r="D920">
        <v>5</v>
      </c>
      <c r="E920" t="s">
        <v>17</v>
      </c>
      <c r="F920" t="s">
        <v>18</v>
      </c>
      <c r="G920" t="s">
        <v>19</v>
      </c>
      <c r="H920">
        <v>12</v>
      </c>
    </row>
    <row r="921" spans="1:8">
      <c r="A921">
        <v>10925</v>
      </c>
      <c r="B921" s="1">
        <v>46001</v>
      </c>
      <c r="C921">
        <v>1795.25</v>
      </c>
      <c r="D921">
        <v>57</v>
      </c>
      <c r="E921" t="s">
        <v>11</v>
      </c>
      <c r="F921" t="s">
        <v>9</v>
      </c>
      <c r="G921" t="s">
        <v>12</v>
      </c>
      <c r="H921">
        <v>12</v>
      </c>
    </row>
    <row r="922" spans="1:8">
      <c r="A922">
        <v>10926</v>
      </c>
      <c r="B922" s="1">
        <v>45993</v>
      </c>
      <c r="C922">
        <v>321.25</v>
      </c>
      <c r="D922">
        <v>48</v>
      </c>
      <c r="E922" t="s">
        <v>74</v>
      </c>
      <c r="F922" t="s">
        <v>9</v>
      </c>
      <c r="G922" t="s">
        <v>16</v>
      </c>
      <c r="H922">
        <v>12</v>
      </c>
    </row>
    <row r="923" spans="1:8">
      <c r="A923">
        <v>10927</v>
      </c>
      <c r="B923" s="1">
        <v>45998</v>
      </c>
      <c r="C923">
        <v>13885.5</v>
      </c>
      <c r="D923">
        <v>7</v>
      </c>
      <c r="E923" t="s">
        <v>66</v>
      </c>
      <c r="F923" t="s">
        <v>18</v>
      </c>
      <c r="G923" t="s">
        <v>10</v>
      </c>
      <c r="H923">
        <v>12</v>
      </c>
    </row>
    <row r="924" spans="1:8">
      <c r="A924">
        <v>10928</v>
      </c>
      <c r="B924" s="1">
        <v>46001</v>
      </c>
      <c r="C924">
        <v>4176</v>
      </c>
      <c r="D924">
        <v>11</v>
      </c>
      <c r="E924" t="s">
        <v>31</v>
      </c>
      <c r="F924" t="s">
        <v>18</v>
      </c>
      <c r="G924" t="s">
        <v>19</v>
      </c>
      <c r="H924">
        <v>12</v>
      </c>
    </row>
    <row r="925" spans="1:8">
      <c r="A925">
        <v>10929</v>
      </c>
      <c r="B925" s="1">
        <v>45992</v>
      </c>
      <c r="C925">
        <v>2035</v>
      </c>
      <c r="D925">
        <v>56</v>
      </c>
      <c r="E925" t="s">
        <v>43</v>
      </c>
      <c r="F925" t="s">
        <v>9</v>
      </c>
      <c r="G925" t="s">
        <v>10</v>
      </c>
      <c r="H925">
        <v>12</v>
      </c>
    </row>
    <row r="926" spans="1:8">
      <c r="A926">
        <v>10930</v>
      </c>
      <c r="B926" s="1">
        <v>46022</v>
      </c>
      <c r="C926">
        <v>1104.75</v>
      </c>
      <c r="D926">
        <v>63</v>
      </c>
      <c r="E926" t="s">
        <v>55</v>
      </c>
      <c r="F926" t="s">
        <v>9</v>
      </c>
      <c r="G926" t="s">
        <v>10</v>
      </c>
      <c r="H926">
        <v>12</v>
      </c>
    </row>
    <row r="927" spans="1:8">
      <c r="A927">
        <v>10931</v>
      </c>
      <c r="B927" s="1">
        <v>46021</v>
      </c>
      <c r="C927">
        <v>9153.25</v>
      </c>
      <c r="D927">
        <v>17</v>
      </c>
      <c r="E927" t="s">
        <v>73</v>
      </c>
      <c r="F927" t="s">
        <v>18</v>
      </c>
      <c r="G927" t="s">
        <v>16</v>
      </c>
      <c r="H927">
        <v>12</v>
      </c>
    </row>
    <row r="928" spans="1:8">
      <c r="A928">
        <v>10932</v>
      </c>
      <c r="B928" s="1">
        <v>45995</v>
      </c>
      <c r="C928">
        <v>3704.25</v>
      </c>
      <c r="D928">
        <v>6</v>
      </c>
      <c r="E928" t="s">
        <v>48</v>
      </c>
      <c r="F928" t="s">
        <v>18</v>
      </c>
      <c r="G928" t="s">
        <v>19</v>
      </c>
      <c r="H928">
        <v>12</v>
      </c>
    </row>
    <row r="929" spans="1:8">
      <c r="A929">
        <v>10933</v>
      </c>
      <c r="B929" s="1">
        <v>45996</v>
      </c>
      <c r="C929">
        <v>2127.25</v>
      </c>
      <c r="D929">
        <v>44</v>
      </c>
      <c r="E929" t="s">
        <v>78</v>
      </c>
      <c r="F929" t="s">
        <v>9</v>
      </c>
      <c r="G929" t="s">
        <v>57</v>
      </c>
      <c r="H929">
        <v>12</v>
      </c>
    </row>
    <row r="930" spans="1:8">
      <c r="A930">
        <v>10934</v>
      </c>
      <c r="B930" s="1">
        <v>46001</v>
      </c>
      <c r="C930">
        <v>6103.5</v>
      </c>
      <c r="D930">
        <v>13</v>
      </c>
      <c r="E930" t="s">
        <v>50</v>
      </c>
      <c r="F930" t="s">
        <v>18</v>
      </c>
      <c r="G930" t="s">
        <v>12</v>
      </c>
      <c r="H930">
        <v>12</v>
      </c>
    </row>
    <row r="931" spans="1:8">
      <c r="A931">
        <v>10935</v>
      </c>
      <c r="B931" s="1">
        <v>45995</v>
      </c>
      <c r="C931">
        <v>2482</v>
      </c>
      <c r="D931">
        <v>74</v>
      </c>
      <c r="E931" t="s">
        <v>32</v>
      </c>
      <c r="F931" t="s">
        <v>9</v>
      </c>
      <c r="G931" t="s">
        <v>16</v>
      </c>
      <c r="H931">
        <v>12</v>
      </c>
    </row>
    <row r="932" spans="1:8">
      <c r="A932">
        <v>10936</v>
      </c>
      <c r="B932" s="1">
        <v>46012</v>
      </c>
      <c r="C932">
        <v>838.25</v>
      </c>
      <c r="D932">
        <v>54</v>
      </c>
      <c r="E932" t="s">
        <v>53</v>
      </c>
      <c r="F932" t="s">
        <v>9</v>
      </c>
      <c r="G932" t="s">
        <v>12</v>
      </c>
      <c r="H932">
        <v>12</v>
      </c>
    </row>
    <row r="933" spans="1:8">
      <c r="A933">
        <v>10937</v>
      </c>
      <c r="B933" s="1">
        <v>46013</v>
      </c>
      <c r="C933">
        <v>12208</v>
      </c>
      <c r="D933">
        <v>22</v>
      </c>
      <c r="E933" t="s">
        <v>60</v>
      </c>
      <c r="F933" t="s">
        <v>18</v>
      </c>
      <c r="G933" t="s">
        <v>10</v>
      </c>
      <c r="H933">
        <v>12</v>
      </c>
    </row>
    <row r="934" spans="1:8">
      <c r="A934">
        <v>10938</v>
      </c>
      <c r="B934" s="1">
        <v>46002</v>
      </c>
      <c r="C934">
        <v>2498.5</v>
      </c>
      <c r="D934">
        <v>41</v>
      </c>
      <c r="E934" t="s">
        <v>80</v>
      </c>
      <c r="F934" t="s">
        <v>9</v>
      </c>
      <c r="G934" t="s">
        <v>10</v>
      </c>
      <c r="H934">
        <v>12</v>
      </c>
    </row>
    <row r="935" spans="1:8">
      <c r="A935">
        <v>10939</v>
      </c>
      <c r="B935" s="1">
        <v>46004</v>
      </c>
      <c r="C935">
        <v>741.75</v>
      </c>
      <c r="D935">
        <v>51</v>
      </c>
      <c r="E935" t="s">
        <v>36</v>
      </c>
      <c r="F935" t="s">
        <v>9</v>
      </c>
      <c r="G935" t="s">
        <v>19</v>
      </c>
      <c r="H935">
        <v>12</v>
      </c>
    </row>
    <row r="936" spans="1:8">
      <c r="A936">
        <v>10940</v>
      </c>
      <c r="B936" s="1">
        <v>46000</v>
      </c>
      <c r="C936">
        <v>1404</v>
      </c>
      <c r="D936">
        <v>65</v>
      </c>
      <c r="E936" t="s">
        <v>69</v>
      </c>
      <c r="F936" t="s">
        <v>9</v>
      </c>
      <c r="G936" t="s">
        <v>19</v>
      </c>
      <c r="H936">
        <v>12</v>
      </c>
    </row>
    <row r="937" spans="1:8">
      <c r="A937">
        <v>10941</v>
      </c>
      <c r="B937" s="1">
        <v>45996</v>
      </c>
      <c r="C937">
        <v>14754.75</v>
      </c>
      <c r="D937">
        <v>21</v>
      </c>
      <c r="E937" t="s">
        <v>37</v>
      </c>
      <c r="F937" t="s">
        <v>18</v>
      </c>
      <c r="G937" t="s">
        <v>16</v>
      </c>
      <c r="H937">
        <v>12</v>
      </c>
    </row>
    <row r="938" spans="1:8">
      <c r="A938">
        <v>10942</v>
      </c>
      <c r="B938" s="1">
        <v>46005</v>
      </c>
      <c r="C938">
        <v>1026</v>
      </c>
      <c r="D938">
        <v>41</v>
      </c>
      <c r="E938" t="s">
        <v>80</v>
      </c>
      <c r="F938" t="s">
        <v>9</v>
      </c>
      <c r="G938" t="s">
        <v>10</v>
      </c>
      <c r="H938">
        <v>12</v>
      </c>
    </row>
    <row r="939" spans="1:8">
      <c r="A939">
        <v>10943</v>
      </c>
      <c r="B939" s="1">
        <v>46004</v>
      </c>
      <c r="C939">
        <v>2287.5</v>
      </c>
      <c r="D939">
        <v>50</v>
      </c>
      <c r="E939" t="s">
        <v>22</v>
      </c>
      <c r="F939" t="s">
        <v>9</v>
      </c>
      <c r="G939" t="s">
        <v>16</v>
      </c>
      <c r="H939">
        <v>12</v>
      </c>
    </row>
    <row r="940" spans="1:8">
      <c r="A940">
        <v>10944</v>
      </c>
      <c r="B940" s="1">
        <v>45997</v>
      </c>
      <c r="C940">
        <v>8679</v>
      </c>
      <c r="D940">
        <v>29</v>
      </c>
      <c r="E940" t="s">
        <v>23</v>
      </c>
      <c r="F940" t="s">
        <v>18</v>
      </c>
      <c r="G940" t="s">
        <v>10</v>
      </c>
      <c r="H940">
        <v>12</v>
      </c>
    </row>
    <row r="941" spans="1:8">
      <c r="A941">
        <v>10945</v>
      </c>
      <c r="B941" s="1">
        <v>46013</v>
      </c>
      <c r="C941">
        <v>2709.5</v>
      </c>
      <c r="D941">
        <v>37</v>
      </c>
      <c r="E941" t="s">
        <v>14</v>
      </c>
      <c r="F941" t="s">
        <v>9</v>
      </c>
      <c r="G941" t="s">
        <v>12</v>
      </c>
      <c r="H941">
        <v>12</v>
      </c>
    </row>
    <row r="942" spans="1:8">
      <c r="A942">
        <v>10946</v>
      </c>
      <c r="B942" s="1">
        <v>46006</v>
      </c>
      <c r="C942">
        <v>1357.25</v>
      </c>
      <c r="D942">
        <v>47</v>
      </c>
      <c r="E942" t="s">
        <v>68</v>
      </c>
      <c r="F942" t="s">
        <v>9</v>
      </c>
      <c r="G942" t="s">
        <v>19</v>
      </c>
      <c r="H942">
        <v>12</v>
      </c>
    </row>
    <row r="943" spans="1:8">
      <c r="A943">
        <v>10947</v>
      </c>
      <c r="B943" s="1">
        <v>46016</v>
      </c>
      <c r="C943">
        <v>8505.25</v>
      </c>
      <c r="D943">
        <v>30</v>
      </c>
      <c r="E943" t="s">
        <v>70</v>
      </c>
      <c r="F943" t="s">
        <v>18</v>
      </c>
      <c r="G943" t="s">
        <v>10</v>
      </c>
      <c r="H943">
        <v>12</v>
      </c>
    </row>
    <row r="944" spans="1:8">
      <c r="A944">
        <v>10948</v>
      </c>
      <c r="B944" s="1">
        <v>46008</v>
      </c>
      <c r="C944">
        <v>11678.5</v>
      </c>
      <c r="D944">
        <v>5</v>
      </c>
      <c r="E944" t="s">
        <v>17</v>
      </c>
      <c r="F944" t="s">
        <v>18</v>
      </c>
      <c r="G944" t="s">
        <v>19</v>
      </c>
      <c r="H944">
        <v>12</v>
      </c>
    </row>
    <row r="945" spans="1:8">
      <c r="A945">
        <v>10949</v>
      </c>
      <c r="B945" s="1">
        <v>46002</v>
      </c>
      <c r="C945">
        <v>2590.75</v>
      </c>
      <c r="D945">
        <v>69</v>
      </c>
      <c r="E945" t="s">
        <v>44</v>
      </c>
      <c r="F945" t="s">
        <v>9</v>
      </c>
      <c r="G945" t="s">
        <v>19</v>
      </c>
      <c r="H945">
        <v>12</v>
      </c>
    </row>
    <row r="946" spans="1:8">
      <c r="A946">
        <v>10950</v>
      </c>
      <c r="B946" s="1">
        <v>46014</v>
      </c>
      <c r="C946">
        <v>17835.5</v>
      </c>
      <c r="D946">
        <v>16</v>
      </c>
      <c r="E946" t="s">
        <v>21</v>
      </c>
      <c r="F946" t="s">
        <v>18</v>
      </c>
      <c r="G946" t="s">
        <v>10</v>
      </c>
      <c r="H946">
        <v>12</v>
      </c>
    </row>
    <row r="947" spans="1:8">
      <c r="A947">
        <v>10951</v>
      </c>
      <c r="B947" s="1">
        <v>46014</v>
      </c>
      <c r="C947">
        <v>11771.5</v>
      </c>
      <c r="D947">
        <v>30</v>
      </c>
      <c r="E947" t="s">
        <v>70</v>
      </c>
      <c r="F947" t="s">
        <v>18</v>
      </c>
      <c r="G947" t="s">
        <v>10</v>
      </c>
      <c r="H947">
        <v>12</v>
      </c>
    </row>
    <row r="948" spans="1:8">
      <c r="A948">
        <v>10952</v>
      </c>
      <c r="B948" s="1">
        <v>46009</v>
      </c>
      <c r="C948">
        <v>1823</v>
      </c>
      <c r="D948">
        <v>16</v>
      </c>
      <c r="E948" t="s">
        <v>21</v>
      </c>
      <c r="F948" t="s">
        <v>18</v>
      </c>
      <c r="G948" t="s">
        <v>10</v>
      </c>
      <c r="H948">
        <v>12</v>
      </c>
    </row>
    <row r="949" spans="1:8">
      <c r="A949">
        <v>10953</v>
      </c>
      <c r="B949" s="1">
        <v>46002</v>
      </c>
      <c r="C949">
        <v>7697.25</v>
      </c>
      <c r="D949">
        <v>27</v>
      </c>
      <c r="E949" t="s">
        <v>34</v>
      </c>
      <c r="F949" t="s">
        <v>18</v>
      </c>
      <c r="G949" t="s">
        <v>19</v>
      </c>
      <c r="H949">
        <v>12</v>
      </c>
    </row>
    <row r="950" spans="1:8">
      <c r="A950">
        <v>10954</v>
      </c>
      <c r="B950" s="1">
        <v>45992</v>
      </c>
      <c r="C950">
        <v>3461.5</v>
      </c>
      <c r="D950">
        <v>5</v>
      </c>
      <c r="E950" t="s">
        <v>17</v>
      </c>
      <c r="F950" t="s">
        <v>18</v>
      </c>
      <c r="G950" t="s">
        <v>19</v>
      </c>
      <c r="H950">
        <v>12</v>
      </c>
    </row>
    <row r="951" spans="1:8">
      <c r="A951">
        <v>10955</v>
      </c>
      <c r="B951" s="1">
        <v>46011</v>
      </c>
      <c r="C951">
        <v>8459</v>
      </c>
      <c r="D951">
        <v>28</v>
      </c>
      <c r="E951" t="s">
        <v>79</v>
      </c>
      <c r="F951" t="s">
        <v>18</v>
      </c>
      <c r="G951" t="s">
        <v>12</v>
      </c>
      <c r="H951">
        <v>12</v>
      </c>
    </row>
    <row r="952" spans="1:8">
      <c r="A952">
        <v>10956</v>
      </c>
      <c r="B952" s="1">
        <v>46000</v>
      </c>
      <c r="C952">
        <v>1947.25</v>
      </c>
      <c r="D952">
        <v>6</v>
      </c>
      <c r="E952" t="s">
        <v>48</v>
      </c>
      <c r="F952" t="s">
        <v>18</v>
      </c>
      <c r="G952" t="s">
        <v>19</v>
      </c>
      <c r="H952">
        <v>12</v>
      </c>
    </row>
    <row r="953" spans="1:8">
      <c r="A953">
        <v>10957</v>
      </c>
      <c r="B953" s="1">
        <v>46021</v>
      </c>
      <c r="C953">
        <v>1877</v>
      </c>
      <c r="D953">
        <v>19</v>
      </c>
      <c r="E953" t="s">
        <v>38</v>
      </c>
      <c r="F953" t="s">
        <v>18</v>
      </c>
      <c r="G953" t="s">
        <v>10</v>
      </c>
      <c r="H953">
        <v>12</v>
      </c>
    </row>
    <row r="954" spans="1:8">
      <c r="A954">
        <v>10958</v>
      </c>
      <c r="B954" s="1">
        <v>46002</v>
      </c>
      <c r="C954">
        <v>14873.75</v>
      </c>
      <c r="D954">
        <v>4</v>
      </c>
      <c r="E954" t="s">
        <v>26</v>
      </c>
      <c r="F954" t="s">
        <v>18</v>
      </c>
      <c r="G954" t="s">
        <v>16</v>
      </c>
      <c r="H954">
        <v>12</v>
      </c>
    </row>
    <row r="955" spans="1:8">
      <c r="A955">
        <v>10959</v>
      </c>
      <c r="B955" s="1">
        <v>46007</v>
      </c>
      <c r="C955">
        <v>566</v>
      </c>
      <c r="D955">
        <v>75</v>
      </c>
      <c r="E955" t="s">
        <v>85</v>
      </c>
      <c r="F955" t="s">
        <v>9</v>
      </c>
      <c r="G955" t="s">
        <v>19</v>
      </c>
      <c r="H955">
        <v>12</v>
      </c>
    </row>
    <row r="956" spans="1:8">
      <c r="A956">
        <v>10960</v>
      </c>
      <c r="B956" s="1">
        <v>46022</v>
      </c>
      <c r="C956">
        <v>3717.75</v>
      </c>
      <c r="D956">
        <v>12</v>
      </c>
      <c r="E956" t="s">
        <v>75</v>
      </c>
      <c r="F956" t="s">
        <v>18</v>
      </c>
      <c r="G956" t="s">
        <v>16</v>
      </c>
      <c r="H956">
        <v>12</v>
      </c>
    </row>
    <row r="957" spans="1:8">
      <c r="A957">
        <v>10961</v>
      </c>
      <c r="B957" s="1">
        <v>46018</v>
      </c>
      <c r="C957">
        <v>2056.75</v>
      </c>
      <c r="D957">
        <v>31</v>
      </c>
      <c r="E957" t="s">
        <v>77</v>
      </c>
      <c r="F957" t="s">
        <v>9</v>
      </c>
      <c r="G957" t="s">
        <v>16</v>
      </c>
      <c r="H957">
        <v>12</v>
      </c>
    </row>
    <row r="958" spans="1:8">
      <c r="A958">
        <v>10962</v>
      </c>
      <c r="B958" s="1">
        <v>46008</v>
      </c>
      <c r="C958">
        <v>17768.25</v>
      </c>
      <c r="D958">
        <v>19</v>
      </c>
      <c r="E958" t="s">
        <v>38</v>
      </c>
      <c r="F958" t="s">
        <v>18</v>
      </c>
      <c r="G958" t="s">
        <v>10</v>
      </c>
      <c r="H958">
        <v>12</v>
      </c>
    </row>
    <row r="959" spans="1:8">
      <c r="A959">
        <v>10963</v>
      </c>
      <c r="B959" s="1">
        <v>45998</v>
      </c>
      <c r="C959">
        <v>8674.75</v>
      </c>
      <c r="D959">
        <v>26</v>
      </c>
      <c r="E959" t="s">
        <v>47</v>
      </c>
      <c r="F959" t="s">
        <v>18</v>
      </c>
      <c r="G959" t="s">
        <v>12</v>
      </c>
      <c r="H959">
        <v>12</v>
      </c>
    </row>
    <row r="960" spans="1:8">
      <c r="A960">
        <v>10964</v>
      </c>
      <c r="B960" s="1">
        <v>45995</v>
      </c>
      <c r="C960">
        <v>8436.5</v>
      </c>
      <c r="D960">
        <v>2</v>
      </c>
      <c r="E960" t="s">
        <v>46</v>
      </c>
      <c r="F960" t="s">
        <v>18</v>
      </c>
      <c r="G960" t="s">
        <v>10</v>
      </c>
      <c r="H960">
        <v>12</v>
      </c>
    </row>
    <row r="961" spans="1:8">
      <c r="A961">
        <v>10965</v>
      </c>
      <c r="B961" s="1">
        <v>45997</v>
      </c>
      <c r="C961">
        <v>11610</v>
      </c>
      <c r="D961">
        <v>12</v>
      </c>
      <c r="E961" t="s">
        <v>75</v>
      </c>
      <c r="F961" t="s">
        <v>18</v>
      </c>
      <c r="G961" t="s">
        <v>16</v>
      </c>
      <c r="H961">
        <v>12</v>
      </c>
    </row>
    <row r="962" spans="1:8">
      <c r="A962">
        <v>10966</v>
      </c>
      <c r="B962" s="1">
        <v>46000</v>
      </c>
      <c r="C962">
        <v>17599</v>
      </c>
      <c r="D962">
        <v>15</v>
      </c>
      <c r="E962" t="s">
        <v>51</v>
      </c>
      <c r="F962" t="s">
        <v>18</v>
      </c>
      <c r="G962" t="s">
        <v>10</v>
      </c>
      <c r="H962">
        <v>12</v>
      </c>
    </row>
    <row r="963" spans="1:8">
      <c r="A963">
        <v>10967</v>
      </c>
      <c r="B963" s="1">
        <v>45993</v>
      </c>
      <c r="C963">
        <v>1832.5</v>
      </c>
      <c r="D963">
        <v>47</v>
      </c>
      <c r="E963" t="s">
        <v>68</v>
      </c>
      <c r="F963" t="s">
        <v>9</v>
      </c>
      <c r="G963" t="s">
        <v>19</v>
      </c>
      <c r="H963">
        <v>12</v>
      </c>
    </row>
    <row r="964" spans="1:8">
      <c r="A964">
        <v>10968</v>
      </c>
      <c r="B964" s="1">
        <v>46017</v>
      </c>
      <c r="C964">
        <v>1208.5</v>
      </c>
      <c r="D964">
        <v>55</v>
      </c>
      <c r="E964" t="s">
        <v>63</v>
      </c>
      <c r="F964" t="s">
        <v>9</v>
      </c>
      <c r="G964" t="s">
        <v>19</v>
      </c>
      <c r="H964">
        <v>12</v>
      </c>
    </row>
    <row r="965" spans="1:8">
      <c r="A965">
        <v>10969</v>
      </c>
      <c r="B965" s="1">
        <v>46000</v>
      </c>
      <c r="C965">
        <v>2074.25</v>
      </c>
      <c r="D965">
        <v>1</v>
      </c>
      <c r="E965" t="s">
        <v>54</v>
      </c>
      <c r="F965" t="s">
        <v>18</v>
      </c>
      <c r="G965" t="s">
        <v>19</v>
      </c>
      <c r="H965">
        <v>12</v>
      </c>
    </row>
    <row r="966" spans="1:8">
      <c r="A966">
        <v>10970</v>
      </c>
      <c r="B966" s="1">
        <v>45998</v>
      </c>
      <c r="C966">
        <v>10550.75</v>
      </c>
      <c r="D966">
        <v>14</v>
      </c>
      <c r="E966" t="s">
        <v>42</v>
      </c>
      <c r="F966" t="s">
        <v>18</v>
      </c>
      <c r="G966" t="s">
        <v>10</v>
      </c>
      <c r="H966">
        <v>12</v>
      </c>
    </row>
    <row r="967" spans="1:8">
      <c r="A967">
        <v>10971</v>
      </c>
      <c r="B967" s="1">
        <v>46003</v>
      </c>
      <c r="C967">
        <v>5091</v>
      </c>
      <c r="D967">
        <v>6</v>
      </c>
      <c r="E967" t="s">
        <v>48</v>
      </c>
      <c r="F967" t="s">
        <v>18</v>
      </c>
      <c r="G967" t="s">
        <v>19</v>
      </c>
      <c r="H967">
        <v>12</v>
      </c>
    </row>
    <row r="968" spans="1:8">
      <c r="A968">
        <v>10972</v>
      </c>
      <c r="B968" s="1">
        <v>46004</v>
      </c>
      <c r="C968">
        <v>8294</v>
      </c>
      <c r="D968">
        <v>4</v>
      </c>
      <c r="E968" t="s">
        <v>26</v>
      </c>
      <c r="F968" t="s">
        <v>18</v>
      </c>
      <c r="G968" t="s">
        <v>16</v>
      </c>
      <c r="H968">
        <v>12</v>
      </c>
    </row>
    <row r="969" spans="1:8">
      <c r="A969">
        <v>10973</v>
      </c>
      <c r="B969" s="1">
        <v>45998</v>
      </c>
      <c r="C969">
        <v>3365.25</v>
      </c>
      <c r="D969">
        <v>6</v>
      </c>
      <c r="E969" t="s">
        <v>48</v>
      </c>
      <c r="F969" t="s">
        <v>18</v>
      </c>
      <c r="G969" t="s">
        <v>19</v>
      </c>
      <c r="H969">
        <v>12</v>
      </c>
    </row>
    <row r="970" spans="1:8">
      <c r="A970">
        <v>10974</v>
      </c>
      <c r="B970" s="1">
        <v>46022</v>
      </c>
      <c r="C970">
        <v>3280.5</v>
      </c>
      <c r="D970">
        <v>21</v>
      </c>
      <c r="E970" t="s">
        <v>37</v>
      </c>
      <c r="F970" t="s">
        <v>18</v>
      </c>
      <c r="G970" t="s">
        <v>16</v>
      </c>
      <c r="H970">
        <v>12</v>
      </c>
    </row>
    <row r="971" spans="1:8">
      <c r="A971">
        <v>10975</v>
      </c>
      <c r="B971" s="1">
        <v>46015</v>
      </c>
      <c r="C971">
        <v>14781.75</v>
      </c>
      <c r="D971">
        <v>7</v>
      </c>
      <c r="E971" t="s">
        <v>66</v>
      </c>
      <c r="F971" t="s">
        <v>18</v>
      </c>
      <c r="G971" t="s">
        <v>10</v>
      </c>
      <c r="H971">
        <v>12</v>
      </c>
    </row>
    <row r="972" spans="1:8">
      <c r="A972">
        <v>10976</v>
      </c>
      <c r="B972" s="1">
        <v>46006</v>
      </c>
      <c r="C972">
        <v>9058.75</v>
      </c>
      <c r="D972">
        <v>28</v>
      </c>
      <c r="E972" t="s">
        <v>79</v>
      </c>
      <c r="F972" t="s">
        <v>18</v>
      </c>
      <c r="G972" t="s">
        <v>12</v>
      </c>
      <c r="H972">
        <v>12</v>
      </c>
    </row>
    <row r="973" spans="1:8">
      <c r="A973">
        <v>10977</v>
      </c>
      <c r="B973" s="1">
        <v>45997</v>
      </c>
      <c r="C973">
        <v>593</v>
      </c>
      <c r="D973">
        <v>33</v>
      </c>
      <c r="E973" t="s">
        <v>20</v>
      </c>
      <c r="F973" t="s">
        <v>9</v>
      </c>
      <c r="G973" t="s">
        <v>10</v>
      </c>
      <c r="H973">
        <v>12</v>
      </c>
    </row>
    <row r="974" spans="1:8">
      <c r="A974">
        <v>10978</v>
      </c>
      <c r="B974" s="1">
        <v>45998</v>
      </c>
      <c r="C974">
        <v>17867.25</v>
      </c>
      <c r="D974">
        <v>4</v>
      </c>
      <c r="E974" t="s">
        <v>26</v>
      </c>
      <c r="F974" t="s">
        <v>18</v>
      </c>
      <c r="G974" t="s">
        <v>16</v>
      </c>
      <c r="H974">
        <v>12</v>
      </c>
    </row>
    <row r="975" spans="1:8">
      <c r="A975">
        <v>10979</v>
      </c>
      <c r="B975" s="1">
        <v>46015</v>
      </c>
      <c r="C975">
        <v>11213.25</v>
      </c>
      <c r="D975">
        <v>4</v>
      </c>
      <c r="E975" t="s">
        <v>26</v>
      </c>
      <c r="F975" t="s">
        <v>18</v>
      </c>
      <c r="G975" t="s">
        <v>16</v>
      </c>
      <c r="H975">
        <v>12</v>
      </c>
    </row>
    <row r="976" spans="1:8">
      <c r="A976">
        <v>10980</v>
      </c>
      <c r="B976" s="1">
        <v>46010</v>
      </c>
      <c r="C976">
        <v>13558</v>
      </c>
      <c r="D976">
        <v>2</v>
      </c>
      <c r="E976" t="s">
        <v>46</v>
      </c>
      <c r="F976" t="s">
        <v>18</v>
      </c>
      <c r="G976" t="s">
        <v>10</v>
      </c>
      <c r="H976">
        <v>12</v>
      </c>
    </row>
    <row r="977" spans="1:8">
      <c r="A977">
        <v>10981</v>
      </c>
      <c r="B977" s="1">
        <v>45999</v>
      </c>
      <c r="C977">
        <v>2195</v>
      </c>
      <c r="D977">
        <v>61</v>
      </c>
      <c r="E977" t="s">
        <v>33</v>
      </c>
      <c r="F977" t="s">
        <v>9</v>
      </c>
      <c r="G977" t="s">
        <v>16</v>
      </c>
      <c r="H977">
        <v>12</v>
      </c>
    </row>
    <row r="978" spans="1:8">
      <c r="A978">
        <v>10982</v>
      </c>
      <c r="B978" s="1">
        <v>46010</v>
      </c>
      <c r="C978">
        <v>2931.75</v>
      </c>
      <c r="D978">
        <v>4</v>
      </c>
      <c r="E978" t="s">
        <v>26</v>
      </c>
      <c r="F978" t="s">
        <v>18</v>
      </c>
      <c r="G978" t="s">
        <v>16</v>
      </c>
      <c r="H978">
        <v>12</v>
      </c>
    </row>
    <row r="979" spans="1:8">
      <c r="A979">
        <v>10983</v>
      </c>
      <c r="B979" s="1">
        <v>45994</v>
      </c>
      <c r="C979">
        <v>2155.75</v>
      </c>
      <c r="D979">
        <v>46</v>
      </c>
      <c r="E979" t="s">
        <v>15</v>
      </c>
      <c r="F979" t="s">
        <v>9</v>
      </c>
      <c r="G979" t="s">
        <v>16</v>
      </c>
      <c r="H979">
        <v>12</v>
      </c>
    </row>
    <row r="980" spans="1:8">
      <c r="A980">
        <v>10984</v>
      </c>
      <c r="B980" s="1">
        <v>46001</v>
      </c>
      <c r="C980">
        <v>458</v>
      </c>
      <c r="D980">
        <v>36</v>
      </c>
      <c r="E980" t="s">
        <v>83</v>
      </c>
      <c r="F980" t="s">
        <v>9</v>
      </c>
      <c r="G980" t="s">
        <v>16</v>
      </c>
      <c r="H980">
        <v>12</v>
      </c>
    </row>
    <row r="981" spans="1:8">
      <c r="A981">
        <v>10985</v>
      </c>
      <c r="B981" s="1">
        <v>46014</v>
      </c>
      <c r="C981">
        <v>5485.5</v>
      </c>
      <c r="D981">
        <v>5</v>
      </c>
      <c r="E981" t="s">
        <v>17</v>
      </c>
      <c r="F981" t="s">
        <v>18</v>
      </c>
      <c r="G981" t="s">
        <v>19</v>
      </c>
      <c r="H981">
        <v>12</v>
      </c>
    </row>
    <row r="982" spans="1:8">
      <c r="A982">
        <v>10986</v>
      </c>
      <c r="B982" s="1">
        <v>46008</v>
      </c>
      <c r="C982">
        <v>1831</v>
      </c>
      <c r="D982">
        <v>76</v>
      </c>
      <c r="E982" t="s">
        <v>13</v>
      </c>
      <c r="F982" t="s">
        <v>9</v>
      </c>
      <c r="G982" t="s">
        <v>12</v>
      </c>
      <c r="H982">
        <v>12</v>
      </c>
    </row>
    <row r="983" spans="1:8">
      <c r="A983">
        <v>10987</v>
      </c>
      <c r="B983" s="1">
        <v>46005</v>
      </c>
      <c r="C983">
        <v>893.75</v>
      </c>
      <c r="D983">
        <v>50</v>
      </c>
      <c r="E983" t="s">
        <v>22</v>
      </c>
      <c r="F983" t="s">
        <v>9</v>
      </c>
      <c r="G983" t="s">
        <v>16</v>
      </c>
      <c r="H983">
        <v>12</v>
      </c>
    </row>
    <row r="984" spans="1:8">
      <c r="A984">
        <v>10988</v>
      </c>
      <c r="B984" s="1">
        <v>46010</v>
      </c>
      <c r="C984">
        <v>252</v>
      </c>
      <c r="D984">
        <v>40</v>
      </c>
      <c r="E984" t="s">
        <v>58</v>
      </c>
      <c r="F984" t="s">
        <v>9</v>
      </c>
      <c r="G984" t="s">
        <v>19</v>
      </c>
      <c r="H984">
        <v>12</v>
      </c>
    </row>
    <row r="985" spans="1:8">
      <c r="A985">
        <v>10989</v>
      </c>
      <c r="B985" s="1">
        <v>46011</v>
      </c>
      <c r="C985">
        <v>951.5</v>
      </c>
      <c r="D985">
        <v>75</v>
      </c>
      <c r="E985" t="s">
        <v>85</v>
      </c>
      <c r="F985" t="s">
        <v>9</v>
      </c>
      <c r="G985" t="s">
        <v>19</v>
      </c>
      <c r="H985">
        <v>12</v>
      </c>
    </row>
    <row r="986" spans="1:8">
      <c r="A986">
        <v>10990</v>
      </c>
      <c r="B986" s="1">
        <v>46000</v>
      </c>
      <c r="C986">
        <v>7462.5</v>
      </c>
      <c r="D986">
        <v>14</v>
      </c>
      <c r="E986" t="s">
        <v>42</v>
      </c>
      <c r="F986" t="s">
        <v>18</v>
      </c>
      <c r="G986" t="s">
        <v>10</v>
      </c>
      <c r="H986">
        <v>12</v>
      </c>
    </row>
    <row r="987" spans="1:8">
      <c r="A987">
        <v>10991</v>
      </c>
      <c r="B987" s="1">
        <v>46011</v>
      </c>
      <c r="C987">
        <v>2361.75</v>
      </c>
      <c r="D987">
        <v>48</v>
      </c>
      <c r="E987" t="s">
        <v>74</v>
      </c>
      <c r="F987" t="s">
        <v>9</v>
      </c>
      <c r="G987" t="s">
        <v>16</v>
      </c>
      <c r="H987">
        <v>12</v>
      </c>
    </row>
    <row r="988" spans="1:8">
      <c r="A988">
        <v>10992</v>
      </c>
      <c r="B988" s="1">
        <v>46015</v>
      </c>
      <c r="C988">
        <v>4259</v>
      </c>
      <c r="D988">
        <v>4</v>
      </c>
      <c r="E988" t="s">
        <v>26</v>
      </c>
      <c r="F988" t="s">
        <v>18</v>
      </c>
      <c r="G988" t="s">
        <v>16</v>
      </c>
      <c r="H988">
        <v>12</v>
      </c>
    </row>
    <row r="989" spans="1:8">
      <c r="A989">
        <v>10993</v>
      </c>
      <c r="B989" s="1">
        <v>46006</v>
      </c>
      <c r="C989">
        <v>17369</v>
      </c>
      <c r="D989">
        <v>7</v>
      </c>
      <c r="E989" t="s">
        <v>66</v>
      </c>
      <c r="F989" t="s">
        <v>18</v>
      </c>
      <c r="G989" t="s">
        <v>10</v>
      </c>
      <c r="H989">
        <v>12</v>
      </c>
    </row>
    <row r="990" spans="1:8">
      <c r="A990">
        <v>10994</v>
      </c>
      <c r="B990" s="1">
        <v>45996</v>
      </c>
      <c r="C990">
        <v>16678.25</v>
      </c>
      <c r="D990">
        <v>19</v>
      </c>
      <c r="E990" t="s">
        <v>38</v>
      </c>
      <c r="F990" t="s">
        <v>18</v>
      </c>
      <c r="G990" t="s">
        <v>10</v>
      </c>
      <c r="H990">
        <v>12</v>
      </c>
    </row>
    <row r="991" spans="1:8">
      <c r="A991">
        <v>10995</v>
      </c>
      <c r="B991" s="1">
        <v>46018</v>
      </c>
      <c r="C991">
        <v>16129</v>
      </c>
      <c r="D991">
        <v>27</v>
      </c>
      <c r="E991" t="s">
        <v>34</v>
      </c>
      <c r="F991" t="s">
        <v>18</v>
      </c>
      <c r="G991" t="s">
        <v>19</v>
      </c>
      <c r="H991">
        <v>12</v>
      </c>
    </row>
    <row r="992" spans="1:8">
      <c r="A992">
        <v>10996</v>
      </c>
      <c r="B992" s="1">
        <v>46018</v>
      </c>
      <c r="C992">
        <v>4710.25</v>
      </c>
      <c r="D992">
        <v>4</v>
      </c>
      <c r="E992" t="s">
        <v>26</v>
      </c>
      <c r="F992" t="s">
        <v>18</v>
      </c>
      <c r="G992" t="s">
        <v>16</v>
      </c>
      <c r="H992">
        <v>12</v>
      </c>
    </row>
    <row r="993" spans="1:8">
      <c r="A993">
        <v>10997</v>
      </c>
      <c r="B993" s="1">
        <v>46018</v>
      </c>
      <c r="C993">
        <v>11772.5</v>
      </c>
      <c r="D993">
        <v>4</v>
      </c>
      <c r="E993" t="s">
        <v>26</v>
      </c>
      <c r="F993" t="s">
        <v>18</v>
      </c>
      <c r="G993" t="s">
        <v>16</v>
      </c>
      <c r="H993">
        <v>12</v>
      </c>
    </row>
    <row r="994" spans="1:8">
      <c r="A994">
        <v>10998</v>
      </c>
      <c r="B994" s="1">
        <v>46005</v>
      </c>
      <c r="C994">
        <v>1237.75</v>
      </c>
      <c r="D994">
        <v>75</v>
      </c>
      <c r="E994" t="s">
        <v>85</v>
      </c>
      <c r="F994" t="s">
        <v>9</v>
      </c>
      <c r="G994" t="s">
        <v>19</v>
      </c>
      <c r="H994">
        <v>12</v>
      </c>
    </row>
    <row r="995" spans="1:8">
      <c r="A995">
        <v>10999</v>
      </c>
      <c r="B995" s="1">
        <v>46016</v>
      </c>
      <c r="C995">
        <v>6967.75</v>
      </c>
      <c r="D995">
        <v>13</v>
      </c>
      <c r="E995" t="s">
        <v>50</v>
      </c>
      <c r="F995" t="s">
        <v>18</v>
      </c>
      <c r="G995" t="s">
        <v>12</v>
      </c>
      <c r="H995">
        <v>12</v>
      </c>
    </row>
    <row r="996" spans="1:8">
      <c r="A996">
        <v>11000</v>
      </c>
      <c r="B996" s="1">
        <v>46018</v>
      </c>
      <c r="C996">
        <v>15978.75</v>
      </c>
      <c r="D996">
        <v>8</v>
      </c>
      <c r="E996" t="s">
        <v>41</v>
      </c>
      <c r="F996" t="s">
        <v>18</v>
      </c>
      <c r="G996" t="s">
        <v>16</v>
      </c>
      <c r="H996">
        <v>12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C1BEA-E17B-4056-A7DC-F997165C1F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Tržby_objednávky_EDA</vt:lpstr>
      <vt:lpstr>Tržby_objednávky_SDA</vt:lpstr>
      <vt:lpstr>Segmenty</vt:lpstr>
      <vt:lpstr>TOP_zákazníci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2026-10-11T14:00:03Z</dcterms:created>
  <dcterms:modified xsi:type="dcterms:W3CDTF">2026-10-11T16:38:23Z</dcterms:modified>
</cp:coreProperties>
</file>